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0%;[Red]-0.0%"/>
    <numFmt numFmtId="166" formatCode="&quot;$&quot;#,##0"/>
    <numFmt numFmtId="167" formatCode="&quot;$&quot;#,##0;[Red]-&quot;$&quot;#,##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9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6" customWidth="1" min="4" max="4"/>
    <col width="12" customWidth="1" min="5" max="5"/>
    <col width="10" customWidth="1" min="6" max="6"/>
    <col width="14" customWidth="1" min="7" max="7"/>
    <col width="44" customWidth="1" min="8" max="8"/>
  </cols>
  <sheetData>
    <row r="1" ht="30" customHeight="1">
      <c r="A1" s="1" t="inlineStr">
        <is>
          <t>KPI Dashboard – Product Activation Campaign</t>
        </is>
      </c>
    </row>
    <row r="2">
      <c r="A2" s="2" t="inlineStr">
        <is>
          <t>Status rule: On Target = met/beat target · At Risk = within 10% of target · Off Target = more than 10% short.  (CAC: lower is better)</t>
        </is>
      </c>
    </row>
    <row r="4" ht="32" customHeight="1">
      <c r="A4" s="3" t="inlineStr">
        <is>
          <t>KPI Name</t>
        </is>
      </c>
      <c r="B4" s="3" t="inlineStr">
        <is>
          <t>Target</t>
        </is>
      </c>
      <c r="C4" s="3" t="inlineStr">
        <is>
          <t>Actual Result</t>
        </is>
      </c>
      <c r="D4" s="3" t="inlineStr">
        <is>
          <t>Variance (Actual − Target)</t>
        </is>
      </c>
      <c r="E4" s="3" t="inlineStr">
        <is>
          <t>Variance %</t>
        </is>
      </c>
      <c r="F4" s="3" t="inlineStr">
        <is>
          <t>Better If</t>
        </is>
      </c>
      <c r="G4" s="3" t="inlineStr">
        <is>
          <t>Status</t>
        </is>
      </c>
      <c r="H4" s="3" t="inlineStr">
        <is>
          <t>Data Source</t>
        </is>
      </c>
    </row>
    <row r="5" ht="30" customHeight="1">
      <c r="A5" s="4" t="inlineStr">
        <is>
          <t>Qualified Entries</t>
        </is>
      </c>
      <c r="B5" s="5" t="n">
        <v>500</v>
      </c>
      <c r="C5" s="5" t="n">
        <v>460</v>
      </c>
      <c r="D5" s="6">
        <f>C5-B5</f>
        <v/>
      </c>
      <c r="E5" s="7">
        <f>IF(B5=0,0,(C5-B5)/B5)</f>
        <v/>
      </c>
      <c r="F5" s="8" t="inlineStr">
        <is>
          <t>Higher</t>
        </is>
      </c>
      <c r="G5" s="9">
        <f>IF(IF(F5="Lower",-E5,E5)&gt;=0,"On Target",IF(IF(F5="Lower",-E5,E5)&gt;=-0.1,"At Risk","Off Target"))</f>
        <v/>
      </c>
      <c r="H5" s="4" t="inlineStr">
        <is>
          <t>CRM / online entry form submissions</t>
        </is>
      </c>
    </row>
    <row r="6" ht="30" customHeight="1">
      <c r="A6" s="4" t="inlineStr">
        <is>
          <t>Number of Paid Enrolments</t>
        </is>
      </c>
      <c r="B6" s="5" t="n">
        <v>120</v>
      </c>
      <c r="C6" s="5" t="n">
        <v>132</v>
      </c>
      <c r="D6" s="6">
        <f>C6-B6</f>
        <v/>
      </c>
      <c r="E6" s="7">
        <f>IF(B6=0,0,(C6-B6)/B6)</f>
        <v/>
      </c>
      <c r="F6" s="8" t="inlineStr">
        <is>
          <t>Higher</t>
        </is>
      </c>
      <c r="G6" s="9">
        <f>IF(IF(F6="Lower",-E6,E6)&gt;=0,"On Target",IF(IF(F6="Lower",-E6,E6)&gt;=-0.1,"At Risk","Off Target"))</f>
        <v/>
      </c>
      <c r="H6" s="4" t="inlineStr">
        <is>
          <t>Payment system / enrolment register</t>
        </is>
      </c>
    </row>
    <row r="7" ht="30" customHeight="1">
      <c r="A7" s="4" t="inlineStr">
        <is>
          <t>Advertising Spend (CAC – cost per enrolment)</t>
        </is>
      </c>
      <c r="B7" s="10" t="n">
        <v>50</v>
      </c>
      <c r="C7" s="10" t="n">
        <v>45</v>
      </c>
      <c r="D7" s="11">
        <f>C7-B7</f>
        <v/>
      </c>
      <c r="E7" s="7">
        <f>IF(B7=0,0,(C7-B7)/B7)</f>
        <v/>
      </c>
      <c r="F7" s="8" t="inlineStr">
        <is>
          <t>Lower</t>
        </is>
      </c>
      <c r="G7" s="9">
        <f>IF(IF(F7="Lower",-E7,E7)&gt;=0,"On Target",IF(IF(F7="Lower",-E7,E7)&gt;=-0.1,"At Risk","Off Target"))</f>
        <v/>
      </c>
      <c r="H7" s="4" t="inlineStr">
        <is>
          <t>Google Ads &amp; Meta Ads Manager ÷ paid enrolments</t>
        </is>
      </c>
    </row>
    <row r="8" ht="30" customHeight="1">
      <c r="A8" s="4" t="inlineStr">
        <is>
          <t>Revenue Generated</t>
        </is>
      </c>
      <c r="B8" s="10" t="n">
        <v>60000</v>
      </c>
      <c r="C8" s="10" t="n">
        <v>66000</v>
      </c>
      <c r="D8" s="11">
        <f>C8-B8</f>
        <v/>
      </c>
      <c r="E8" s="7">
        <f>IF(B8=0,0,(C8-B8)/B8)</f>
        <v/>
      </c>
      <c r="F8" s="8" t="inlineStr">
        <is>
          <t>Higher</t>
        </is>
      </c>
      <c r="G8" s="9">
        <f>IF(IF(F8="Lower",-E8,E8)&gt;=0,"On Target",IF(IF(F8="Lower",-E8,E8)&gt;=-0.1,"At Risk","Off Target"))</f>
        <v/>
      </c>
      <c r="H8" s="4" t="inlineStr">
        <is>
          <t>Sales ledger / accounting system</t>
        </is>
      </c>
    </row>
    <row r="9" ht="30" customHeight="1">
      <c r="A9" s="4" t="inlineStr">
        <is>
          <t>Gross Profit</t>
        </is>
      </c>
      <c r="B9" s="10" t="n">
        <v>24000</v>
      </c>
      <c r="C9" s="10" t="n">
        <v>22500</v>
      </c>
      <c r="D9" s="11">
        <f>C9-B9</f>
        <v/>
      </c>
      <c r="E9" s="7">
        <f>IF(B9=0,0,(C9-B9)/B9)</f>
        <v/>
      </c>
      <c r="F9" s="8" t="inlineStr">
        <is>
          <t>Higher</t>
        </is>
      </c>
      <c r="G9" s="9">
        <f>IF(IF(F9="Lower",-E9,E9)&gt;=0,"On Target",IF(IF(F9="Lower",-E9,E9)&gt;=-0.1,"At Risk","Off Target"))</f>
        <v/>
      </c>
      <c r="H9" s="4" t="inlineStr">
        <is>
          <t>Profit &amp; Loss statement (Finance)</t>
        </is>
      </c>
    </row>
    <row r="11">
      <c r="A11" s="12" t="inlineStr">
        <is>
          <t>Summary</t>
        </is>
      </c>
    </row>
    <row r="12">
      <c r="A12" s="13" t="inlineStr">
        <is>
          <t>KPIs On Target</t>
        </is>
      </c>
      <c r="B12" s="14">
        <f>COUNTIF(G5:G9,"On Target")</f>
        <v/>
      </c>
    </row>
    <row r="13">
      <c r="A13" s="13" t="inlineStr">
        <is>
          <t>KPIs At Risk</t>
        </is>
      </c>
      <c r="B13" s="14">
        <f>COUNTIF(G5:G9,"At Risk")</f>
        <v/>
      </c>
    </row>
    <row r="14">
      <c r="A14" s="13" t="inlineStr">
        <is>
          <t>KPIs Off Target</t>
        </is>
      </c>
      <c r="B14" s="14">
        <f>COUNTIF(G5:G9,"Off Target")</f>
        <v/>
      </c>
    </row>
    <row r="15">
      <c r="A15" s="13" t="inlineStr">
        <is>
          <t>Gross Margin (Actual)</t>
        </is>
      </c>
      <c r="B15" s="15">
        <f>C9/C8</f>
        <v/>
      </c>
    </row>
  </sheetData>
  <mergeCells count="2">
    <mergeCell ref="A2:H2"/>
    <mergeCell ref="A1:H1"/>
  </mergeCells>
  <conditionalFormatting sqref="G5:G9">
    <cfRule type="expression" priority="1" dxfId="0">
      <formula>$G5="On Target"</formula>
    </cfRule>
    <cfRule type="expression" priority="2" dxfId="1">
      <formula>$G5="At Risk"</formula>
    </cfRule>
    <cfRule type="expression" priority="3" dxfId="2">
      <formula>$G5="Off Target"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2026-10-23T10:39:57Z</dcterms:created>
  <dcterms:modified xmlns:dcterms="http://purl.org/dc/terms/" xmlns:xsi="http://www.w3.org/2001/XMLSchema-instance" xsi:type="dcterms:W3CDTF">2026-10-23T10:39:57Z</dcterms:modified>
</cp:coreProperties>
</file>