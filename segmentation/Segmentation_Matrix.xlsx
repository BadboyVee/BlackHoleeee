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gmentation Matrix" sheetId="1" state="visible" r:id="rId1"/>
    <sheet xmlns:r="http://schemas.openxmlformats.org/officeDocument/2006/relationships" name="Attractiveness" sheetId="2" state="visible" r:id="rId2"/>
    <sheet xmlns:r="http://schemas.openxmlformats.org/officeDocument/2006/relationships" name="Research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rgb="00000000"/>
      <sz val="11"/>
      <scheme val="minor"/>
    </font>
    <font>
      <name val="Calibri"/>
      <family val="2"/>
      <b val="1"/>
      <color theme="4" tint="-0.499984740745262"/>
      <sz val="14"/>
      <scheme val="minor"/>
    </font>
    <font>
      <name val="Calibri"/>
      <family val="2"/>
      <i val="1"/>
      <color rgb="00000000"/>
      <sz val="11"/>
      <scheme val="minor"/>
    </font>
    <font>
      <name val="Calibri"/>
      <family val="2"/>
      <i val="1"/>
      <color rgb="00595959"/>
      <sz val="9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b val="1"/>
      <color rgb="00000000"/>
      <sz val="11"/>
      <scheme val="minor"/>
    </font>
    <font>
      <name val="Calibri"/>
      <family val="2"/>
      <b val="1"/>
      <color rgb="00000000"/>
      <sz val="12"/>
      <scheme val="minor"/>
    </font>
    <font>
      <name val="Calibri"/>
      <family val="2"/>
      <b val="1"/>
      <color theme="4" tint="-0.499984740745262"/>
      <sz val="12"/>
      <scheme val="minor"/>
    </font>
    <font>
      <name val="Calibri"/>
      <family val="2"/>
      <color theme="10"/>
      <sz val="11"/>
      <u val="single"/>
      <scheme val="minor"/>
    </font>
  </fonts>
  <fills count="3">
    <fill>
      <patternFill/>
    </fill>
    <fill>
      <patternFill patternType="gray125"/>
    </fill>
    <fill>
      <patternFill patternType="solid">
        <fgColor theme="4" tint="-0.499984740745262"/>
      </patternFill>
    </fill>
  </fills>
  <borders count="2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 indent="1"/>
    </xf>
    <xf numFmtId="0" fontId="0" fillId="0" borderId="1" applyAlignment="1" pivotButton="0" quotePrefix="0" xfId="0">
      <alignment horizontal="left" vertical="center" wrapText="1" indent="1"/>
    </xf>
    <xf numFmtId="0" fontId="0" fillId="0" borderId="1" applyAlignment="1" pivotButton="0" quotePrefix="0" xfId="0">
      <alignment horizontal="center" vertical="center" wrapText="1"/>
    </xf>
    <xf numFmtId="9" fontId="5" fillId="0" borderId="1" applyAlignment="1" pivotButton="0" quotePrefix="0" xfId="0">
      <alignment horizontal="center" vertical="center" wrapText="1"/>
    </xf>
    <xf numFmtId="2" fontId="5" fillId="0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left" vertical="center" wrapText="1" indent="1"/>
    </xf>
    <xf numFmtId="0" fontId="0" fillId="0" borderId="1" pivotButton="0" quotePrefix="0" xfId="0"/>
    <xf numFmtId="0" fontId="6" fillId="0" borderId="1" applyAlignment="1" pivotButton="0" quotePrefix="0" xfId="0">
      <alignment horizontal="left" vertical="center" wrapText="1" indent="1"/>
    </xf>
    <xf numFmtId="0" fontId="7" fillId="0" borderId="0" applyAlignment="1" pivotButton="0" quotePrefix="0" xfId="0">
      <alignment horizontal="left" vertical="center" wrapText="1" indent="1"/>
    </xf>
    <xf numFmtId="0" fontId="8" fillId="0" borderId="1" applyAlignment="1" pivotButton="0" quotePrefix="0" xfId="0">
      <alignment horizontal="left"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 sz="1400" b="0">
                <a:solidFill>
                  <a:srgbClr val="595959"/>
                </a:solidFill>
                <a:latin typeface="+mn-lt"/>
              </a:defRPr>
            </a:pPr>
            <a:r>
              <a:rPr sz="1400" b="0">
                <a:solidFill>
                  <a:srgbClr val="595959"/>
                </a:solidFill>
                <a:latin typeface="+mn-lt"/>
              </a:rPr>
              <a:t>Google Trends Search Interest by Segment (0-100)</a:t>
            </a:r>
          </a:p>
        </rich>
      </tx>
      <overlay val="0"/>
    </title>
    <plotArea>
      <barChart>
        <barDir val="bar"/>
        <grouping val="clustered"/>
        <ser>
          <idx val="0"/>
          <order val="0"/>
          <spPr>
            <a:solidFill xmlns:a="http://schemas.openxmlformats.org/drawingml/2006/main">
              <a:srgbClr val="7F7F7F"/>
            </a:solidFill>
            <a:ln xmlns:a="http://schemas.openxmlformats.org/drawingml/2006/main">
              <a:noFill/>
              <a:prstDash val="solid"/>
            </a:ln>
          </spPr>
          <dPt>
            <idx val="0"/>
            <spPr>
              <a:solidFill xmlns:a="http://schemas.openxmlformats.org/drawingml/2006/main">
                <a:srgbClr val="1F4E79"/>
              </a:solidFill>
              <a:ln xmlns:a="http://schemas.openxmlformats.org/drawingml/2006/main">
                <a:noFill/>
                <a:prstDash val="solid"/>
              </a:ln>
            </spPr>
          </dPt>
          <cat>
            <numRef>
              <f>'Segmentation Matrix'!$A$6:$A$10</f>
            </numRef>
          </cat>
          <val>
            <numRef>
              <f>'Segmentation Matrix'!$E$6:$E$10</f>
            </numRef>
          </val>
        </ser>
        <dLbls>
          <numFmt formatCode="0"/>
          <txPr>
            <a:bodyPr xmlns:a="http://schemas.openxmlformats.org/drawingml/2006/main"/>
            <a:p xmlns:a="http://schemas.openxmlformats.org/drawingml/2006/main">
              <a:pPr>
                <a:defRPr sz="1000" b="1">
                  <a:solidFill>
                    <a:srgbClr val="404040"/>
                  </a:solidFill>
                  <a:latin typeface="+mn-lt"/>
                </a:defRPr>
              </a:pPr>
              <a:r>
                <a:t/>
              </a:r>
              <a:endParaRPr sz="1000" b="1">
                <a:solidFill>
                  <a:srgbClr val="404040"/>
                </a:solidFill>
                <a:latin typeface="+mn-lt"/>
              </a:endParaRPr>
            </a:p>
          </txPr>
          <dLblPos val="outEnd"/>
          <showLegendKey val="0"/>
          <showVal val="1"/>
          <showCatName val="0"/>
          <showSerName val="0"/>
          <showPercent val="0"/>
        </dLbls>
        <gapWidth val="6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spPr>
          <a:ln xmlns:a="http://schemas.openxmlformats.org/drawingml/2006/main" w="9525">
            <a:solidFill>
              <a:srgbClr val="D9D9D9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1000" b="0">
                <a:solidFill>
                  <a:srgbClr val="595959"/>
                </a:solidFill>
                <a:latin typeface="+mn-lt"/>
              </a:defRPr>
            </a:pPr>
            <a:r>
              <a:t/>
            </a:r>
            <a:endParaRPr sz="1000" b="0">
              <a:solidFill>
                <a:srgbClr val="595959"/>
              </a:solidFill>
              <a:latin typeface="+mn-lt"/>
            </a:endParaRPr>
          </a:p>
        </txPr>
        <crossAx val="100"/>
        <lblOffset val="100"/>
      </catAx>
      <valAx>
        <axId val="100"/>
        <scaling>
          <orientation val="minMax"/>
          <max val="50"/>
          <min val="0"/>
        </scaling>
        <delete val="1"/>
        <axPos val="l"/>
        <majorTickMark val="none"/>
        <minorTickMark val="none"/>
        <crossAx val="10"/>
      </valAx>
    </plotArea>
    <plotVisOnly val="1"/>
    <dispBlanksAs val="gap"/>
  </chart>
  <spPr>
    <a:ln xmlns:a="http://schemas.openxmlformats.org/drawingml/2006/main" w="9525">
      <a:solidFill>
        <a:srgbClr val="D9D9D9"/>
      </a:solidFill>
      <a:prstDash val="solid"/>
    </a:ln>
  </spPr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 sz="1400" b="0">
                <a:solidFill>
                  <a:srgbClr val="595959"/>
                </a:solidFill>
                <a:latin typeface="+mn-lt"/>
              </a:defRPr>
            </a:pPr>
            <a:r>
              <a:rPr sz="1400" b="0">
                <a:solidFill>
                  <a:srgbClr val="595959"/>
                </a:solidFill>
                <a:latin typeface="+mn-lt"/>
              </a:rPr>
              <a:t>Weighted Attractiveness Score by Segment (out of 5)</a:t>
            </a:r>
          </a:p>
        </rich>
      </tx>
      <overlay val="0"/>
    </title>
    <plotArea>
      <barChart>
        <barDir val="bar"/>
        <grouping val="clustered"/>
        <ser>
          <idx val="0"/>
          <order val="0"/>
          <spPr>
            <a:solidFill xmlns:a="http://schemas.openxmlformats.org/drawingml/2006/main">
              <a:srgbClr val="7F7F7F"/>
            </a:solidFill>
            <a:ln xmlns:a="http://schemas.openxmlformats.org/drawingml/2006/main">
              <a:noFill/>
              <a:prstDash val="solid"/>
            </a:ln>
          </spPr>
          <dPt>
            <idx val="0"/>
            <spPr>
              <a:solidFill xmlns:a="http://schemas.openxmlformats.org/drawingml/2006/main">
                <a:srgbClr val="1F4E79"/>
              </a:solidFill>
              <a:ln xmlns:a="http://schemas.openxmlformats.org/drawingml/2006/main">
                <a:noFill/>
                <a:prstDash val="solid"/>
              </a:ln>
            </spPr>
          </dPt>
          <cat>
            <numRef>
              <f>'Attractiveness'!$A$6:$A$10</f>
            </numRef>
          </cat>
          <val>
            <numRef>
              <f>'Attractiveness'!$G$6:$G$10</f>
            </numRef>
          </val>
        </ser>
        <dLbls>
          <numFmt formatCode="0.00"/>
          <txPr>
            <a:bodyPr xmlns:a="http://schemas.openxmlformats.org/drawingml/2006/main"/>
            <a:p xmlns:a="http://schemas.openxmlformats.org/drawingml/2006/main">
              <a:pPr>
                <a:defRPr sz="1000" b="1">
                  <a:solidFill>
                    <a:srgbClr val="404040"/>
                  </a:solidFill>
                  <a:latin typeface="+mn-lt"/>
                </a:defRPr>
              </a:pPr>
              <a:r>
                <a:t/>
              </a:r>
              <a:endParaRPr sz="1000" b="1">
                <a:solidFill>
                  <a:srgbClr val="404040"/>
                </a:solidFill>
                <a:latin typeface="+mn-lt"/>
              </a:endParaRPr>
            </a:p>
          </txPr>
          <dLblPos val="outEnd"/>
          <showLegendKey val="0"/>
          <showVal val="1"/>
          <showCatName val="0"/>
          <showSerName val="0"/>
          <showPercent val="0"/>
        </dLbls>
        <gapWidth val="6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spPr>
          <a:ln xmlns:a="http://schemas.openxmlformats.org/drawingml/2006/main" w="9525">
            <a:solidFill>
              <a:srgbClr val="D9D9D9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1000" b="0">
                <a:solidFill>
                  <a:srgbClr val="595959"/>
                </a:solidFill>
                <a:latin typeface="+mn-lt"/>
              </a:defRPr>
            </a:pPr>
            <a:r>
              <a:t/>
            </a:r>
            <a:endParaRPr sz="1000" b="0">
              <a:solidFill>
                <a:srgbClr val="595959"/>
              </a:solidFill>
              <a:latin typeface="+mn-lt"/>
            </a:endParaRPr>
          </a:p>
        </txPr>
        <crossAx val="100"/>
        <lblOffset val="100"/>
      </catAx>
      <valAx>
        <axId val="100"/>
        <scaling>
          <orientation val="minMax"/>
          <max val="5"/>
          <min val="0"/>
        </scaling>
        <delete val="1"/>
        <axPos val="l"/>
        <majorTickMark val="none"/>
        <minorTickMark val="none"/>
        <crossAx val="10"/>
      </valAx>
    </plotArea>
    <plotVisOnly val="1"/>
    <dispBlanksAs val="gap"/>
  </chart>
  <spPr>
    <a:ln xmlns:a="http://schemas.openxmlformats.org/drawingml/2006/main" w="9525">
      <a:solidFill>
        <a:srgbClr val="D9D9D9"/>
      </a:solidFill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12</row>
      <rowOff>0</rowOff>
    </from>
    <ext cx="6480000" cy="30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21</row>
      <rowOff>0</rowOff>
    </from>
    <ext cx="6480000" cy="30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allafrica.com/stories/202604160559.html" TargetMode="External" Id="rId1"/><Relationship Type="http://schemas.openxmlformats.org/officeDocument/2006/relationships/hyperlink" Target="https://www.comptia.org/en/blog/nigeria-and-kenya-cybersecurity-skills-gaps-and-the-workforce-opportunity/" TargetMode="External" Id="rId2"/><Relationship Type="http://schemas.openxmlformats.org/officeDocument/2006/relationships/hyperlink" Target="https://businessday.ng/technology/article/nigerian-organisations-recorded-4388-attacks-per-week-in-q1-check-point/" TargetMode="External" Id="rId3"/><Relationship Type="http://schemas.openxmlformats.org/officeDocument/2006/relationships/hyperlink" Target="https://www.itedgenews.africa/meta-platforms-deliver-820m-annual-economic-value-to-nigeria-ai-could-add-22bn-to-gdp-by-2035-report/" TargetMode="External" Id="rId4"/><Relationship Type="http://schemas.openxmlformats.org/officeDocument/2006/relationships/hyperlink" Target="https://3mtt.nitda.gov.ng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27" customWidth="1" min="1" max="1"/>
    <col width="44" customWidth="1" min="2" max="2"/>
    <col width="36" customWidth="1" min="3" max="3"/>
    <col width="22" customWidth="1" min="4" max="4"/>
    <col width="15" customWidth="1" min="5" max="5"/>
    <col width="9" customWidth="1" min="6" max="6"/>
  </cols>
  <sheetData>
    <row r="1" ht="21" customHeight="1">
      <c r="A1" s="1" t="inlineStr">
        <is>
          <t>SEGMENTATION MATRIX: SKILLUP ACADEMY</t>
        </is>
      </c>
    </row>
    <row r="2">
      <c r="A2" s="2" t="inlineStr">
        <is>
          <t>A new digital-skills training business. Customers are grouped by the skill they want to learn.</t>
        </is>
      </c>
    </row>
    <row r="3">
      <c r="A3" s="3" t="inlineStr">
        <is>
          <t>Source: Google Trends, Nigeria, past 12 months (28 September 2025 to 28 September 2026).</t>
        </is>
      </c>
    </row>
    <row r="5" ht="32" customHeight="1">
      <c r="A5" s="4" t="inlineStr">
        <is>
          <t>Segment</t>
        </is>
      </c>
      <c r="B5" s="4" t="inlineStr">
        <is>
          <t>Who they are</t>
        </is>
      </c>
      <c r="C5" s="4" t="inlineStr">
        <is>
          <t>What they want</t>
        </is>
      </c>
      <c r="D5" s="4" t="inlineStr">
        <is>
          <t>Google Trends search term</t>
        </is>
      </c>
      <c r="E5" s="4" t="inlineStr">
        <is>
          <t>Average interest (0-100)</t>
        </is>
      </c>
      <c r="F5" s="4" t="inlineStr">
        <is>
          <t>Rank</t>
        </is>
      </c>
    </row>
    <row r="6" ht="32" customHeight="1">
      <c r="A6" s="5" t="inlineStr">
        <is>
          <t>Cybersecurity learners</t>
        </is>
      </c>
      <c r="B6" s="6" t="inlineStr">
        <is>
          <t>IT students, and staff of banks, telecoms and government</t>
        </is>
      </c>
      <c r="C6" s="6" t="inlineStr">
        <is>
          <t>To protect systems and get security jobs</t>
        </is>
      </c>
      <c r="D6" s="6" t="inlineStr">
        <is>
          <t>Cybersecurity</t>
        </is>
      </c>
      <c r="E6" s="7" t="n">
        <v>43</v>
      </c>
      <c r="F6" s="7">
        <f>RANK(E6,$E$6:$E$10)</f>
        <v>1</v>
      </c>
    </row>
    <row r="7" ht="32" customHeight="1">
      <c r="A7" s="5" t="inlineStr">
        <is>
          <t>Digital marketing learners</t>
        </is>
      </c>
      <c r="B7" s="6" t="inlineStr">
        <is>
          <t>Small business owners, traders and social media managers</t>
        </is>
      </c>
      <c r="C7" s="6" t="inlineStr">
        <is>
          <t>To sell more online with social media and adverts</t>
        </is>
      </c>
      <c r="D7" s="6" t="inlineStr">
        <is>
          <t>Digital marketing</t>
        </is>
      </c>
      <c r="E7" s="7" t="n">
        <v>33</v>
      </c>
      <c r="F7" s="7">
        <f>RANK(E7,$E$6:$E$10)</f>
        <v>2</v>
      </c>
    </row>
    <row r="8" ht="32" customHeight="1">
      <c r="A8" s="5" t="inlineStr">
        <is>
          <t>Data analytics learners</t>
        </is>
      </c>
      <c r="B8" s="6" t="inlineStr">
        <is>
          <t>Graduates, and staff in finance, NGOs and research</t>
        </is>
      </c>
      <c r="C8" s="6" t="inlineStr">
        <is>
          <t>Data skills for better jobs and decisions</t>
        </is>
      </c>
      <c r="D8" s="6" t="inlineStr">
        <is>
          <t>Data analytics</t>
        </is>
      </c>
      <c r="E8" s="7" t="n">
        <v>18</v>
      </c>
      <c r="F8" s="7">
        <f>RANK(E8,$E$6:$E$10)</f>
        <v>3</v>
      </c>
    </row>
    <row r="9" ht="32" customHeight="1">
      <c r="A9" s="5" t="inlineStr">
        <is>
          <t>Generative AI learners</t>
        </is>
      </c>
      <c r="B9" s="6" t="inlineStr">
        <is>
          <t>Students, content creators and office workers</t>
        </is>
      </c>
      <c r="C9" s="6" t="inlineStr">
        <is>
          <t>To use AI tools and prompts to work faster</t>
        </is>
      </c>
      <c r="D9" s="6" t="inlineStr">
        <is>
          <t>Generative AI + Prompt engineering</t>
        </is>
      </c>
      <c r="E9" s="7" t="n">
        <v>13</v>
      </c>
      <c r="F9" s="7">
        <f>RANK(E9,$E$6:$E$10)</f>
        <v>4</v>
      </c>
    </row>
    <row r="10" ht="32" customHeight="1">
      <c r="A10" s="5" t="inlineStr">
        <is>
          <t>Web development learners</t>
        </is>
      </c>
      <c r="B10" s="6" t="inlineStr">
        <is>
          <t>Young people and freelancers</t>
        </is>
      </c>
      <c r="C10" s="6" t="inlineStr">
        <is>
          <t>To build websites and apps for clients</t>
        </is>
      </c>
      <c r="D10" s="6" t="inlineStr">
        <is>
          <t>Web development</t>
        </is>
      </c>
      <c r="E10" s="7" t="n">
        <v>13</v>
      </c>
      <c r="F10" s="7">
        <f>RANK(E10,$E$6:$E$10)</f>
        <v>4</v>
      </c>
    </row>
  </sheetData>
  <mergeCells count="3">
    <mergeCell ref="A3:F3"/>
    <mergeCell ref="A2:F2"/>
    <mergeCell ref="A1:F1"/>
  </mergeCells>
  <printOptions horizontalCentered="1"/>
  <pageMargins left="0.7" right="0.7" top="0.75" bottom="0.75" header="0.3" footer="0.3"/>
  <pageSetup orientation="landscape" paperSize="9" fitToHeight="1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2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7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6" customWidth="1" min="7" max="7"/>
    <col width="9" customWidth="1" min="8" max="8"/>
  </cols>
  <sheetData>
    <row r="1" ht="21" customHeight="1">
      <c r="A1" s="1" t="inlineStr">
        <is>
          <t>SEGMENT ATTRACTIVENESS SCORES</t>
        </is>
      </c>
    </row>
    <row r="2" ht="30" customHeight="1">
      <c r="A2" s="2" t="inlineStr">
        <is>
          <t>Each factor is scored 1 (poor) to 5 (best); for competition, 5 means little competition. Weighted score = SUMPRODUCT of the weights and the scores, out of 5.</t>
        </is>
      </c>
    </row>
    <row r="3">
      <c r="A3" s="3" t="inlineStr">
        <is>
          <t>Search interest score = ROUND(average interest / highest average x 5, 0), from Google Trends.</t>
        </is>
      </c>
    </row>
    <row r="4" ht="32" customHeight="1">
      <c r="A4" s="4" t="inlineStr">
        <is>
          <t>Segment</t>
        </is>
      </c>
      <c r="B4" s="4" t="inlineStr">
        <is>
          <t>Search interest</t>
        </is>
      </c>
      <c r="C4" s="4" t="inlineStr">
        <is>
          <t>Growth</t>
        </is>
      </c>
      <c r="D4" s="4" t="inlineStr">
        <is>
          <t>Spread across Nigeria</t>
        </is>
      </c>
      <c r="E4" s="4" t="inlineStr">
        <is>
          <t>Ability to pay</t>
        </is>
      </c>
      <c r="F4" s="4" t="inlineStr">
        <is>
          <t>Competition</t>
        </is>
      </c>
      <c r="G4" s="4" t="inlineStr">
        <is>
          <t>Weighted score</t>
        </is>
      </c>
      <c r="H4" s="4" t="inlineStr">
        <is>
          <t>Rank</t>
        </is>
      </c>
    </row>
    <row r="5">
      <c r="A5" s="5" t="inlineStr">
        <is>
          <t>Weight</t>
        </is>
      </c>
      <c r="B5" s="8" t="n">
        <v>0.3</v>
      </c>
      <c r="C5" s="8" t="n">
        <v>0.2</v>
      </c>
      <c r="D5" s="8" t="n">
        <v>0.15</v>
      </c>
      <c r="E5" s="8" t="n">
        <v>0.2</v>
      </c>
      <c r="F5" s="8" t="n">
        <v>0.15</v>
      </c>
      <c r="G5" s="8">
        <f>SUM(B5:F5)</f>
        <v>1</v>
      </c>
      <c r="H5" s="6" t="n"/>
    </row>
    <row r="6" ht="20" customHeight="1">
      <c r="A6" s="5" t="str">
        <f>'Segmentation Matrix'!A6</f>
        <v>Cybersecurity learners</v>
      </c>
      <c r="B6" s="7">
        <f>ROUND('Segmentation Matrix'!E6/MAX('Segmentation Matrix'!$E$6:$E$10)*5,0)</f>
        <v>5</v>
      </c>
      <c r="C6" s="7" t="n">
        <v>5</v>
      </c>
      <c r="D6" s="7" t="n">
        <v>5</v>
      </c>
      <c r="E6" s="7" t="n">
        <v>4</v>
      </c>
      <c r="F6" s="7" t="n">
        <v>3</v>
      </c>
      <c r="G6" s="9">
        <f>SUMPRODUCT($B$5:$F$5,B6:F6)</f>
        <v>4.5</v>
      </c>
      <c r="H6" s="7">
        <f>RANK(G6,$G$6:$G$10)</f>
        <v>1</v>
      </c>
    </row>
    <row r="7" ht="20" customHeight="1">
      <c r="A7" s="5" t="str">
        <f>'Segmentation Matrix'!A7</f>
        <v>Digital marketing learners</v>
      </c>
      <c r="B7" s="7">
        <f>ROUND('Segmentation Matrix'!E7/MAX('Segmentation Matrix'!$E$6:$E$10)*5,0)</f>
        <v>4</v>
      </c>
      <c r="C7" s="7" t="n">
        <v>3</v>
      </c>
      <c r="D7" s="7" t="n">
        <v>4</v>
      </c>
      <c r="E7" s="7" t="n">
        <v>4</v>
      </c>
      <c r="F7" s="7" t="n">
        <v>2</v>
      </c>
      <c r="G7" s="9">
        <f>SUMPRODUCT($B$5:$F$5,B7:F7)</f>
        <v>3.5</v>
      </c>
      <c r="H7" s="7">
        <f>RANK(G7,$G$6:$G$10)</f>
        <v>2</v>
      </c>
    </row>
    <row r="8" ht="20" customHeight="1">
      <c r="A8" s="5" t="str">
        <f>'Segmentation Matrix'!A8</f>
        <v>Data analytics learners</v>
      </c>
      <c r="B8" s="7">
        <f>ROUND('Segmentation Matrix'!E8/MAX('Segmentation Matrix'!$E$6:$E$10)*5,0)</f>
        <v>2</v>
      </c>
      <c r="C8" s="7" t="n">
        <v>3</v>
      </c>
      <c r="D8" s="7" t="n">
        <v>2</v>
      </c>
      <c r="E8" s="7" t="n">
        <v>4</v>
      </c>
      <c r="F8" s="7" t="n">
        <v>3</v>
      </c>
      <c r="G8" s="9">
        <f>SUMPRODUCT($B$5:$F$5,B8:F8)</f>
        <v>2.75</v>
      </c>
      <c r="H8" s="7">
        <f>RANK(G8,$G$6:$G$10)</f>
        <v>4</v>
      </c>
    </row>
    <row r="9" ht="20" customHeight="1">
      <c r="A9" s="5" t="str">
        <f>'Segmentation Matrix'!A9</f>
        <v>Generative AI learners</v>
      </c>
      <c r="B9" s="7">
        <f>ROUND('Segmentation Matrix'!E9/MAX('Segmentation Matrix'!$E$6:$E$10)*5,0)</f>
        <v>2</v>
      </c>
      <c r="C9" s="7" t="n">
        <v>3</v>
      </c>
      <c r="D9" s="7" t="n">
        <v>3</v>
      </c>
      <c r="E9" s="7" t="n">
        <v>3</v>
      </c>
      <c r="F9" s="7" t="n">
        <v>4</v>
      </c>
      <c r="G9" s="9">
        <f>SUMPRODUCT($B$5:$F$5,B9:F9)</f>
        <v>2.85</v>
      </c>
      <c r="H9" s="7">
        <f>RANK(G9,$G$6:$G$10)</f>
        <v>3</v>
      </c>
    </row>
    <row r="10" ht="20" customHeight="1">
      <c r="A10" s="5" t="str">
        <f>'Segmentation Matrix'!A10</f>
        <v>Web development learners</v>
      </c>
      <c r="B10" s="7">
        <f>ROUND('Segmentation Matrix'!E10/MAX('Segmentation Matrix'!$E$6:$E$10)*5,0)</f>
        <v>2</v>
      </c>
      <c r="C10" s="7" t="n">
        <v>2</v>
      </c>
      <c r="D10" s="7" t="n">
        <v>2</v>
      </c>
      <c r="E10" s="7" t="n">
        <v>3</v>
      </c>
      <c r="F10" s="7" t="n">
        <v>2</v>
      </c>
      <c r="G10" s="9">
        <f>SUMPRODUCT($B$5:$F$5,B10:F10)</f>
        <v>2.2</v>
      </c>
      <c r="H10" s="7">
        <f>RANK(G10,$G$6:$G$10)</f>
        <v>5</v>
      </c>
    </row>
    <row r="12" ht="22" customHeight="1">
      <c r="A12" s="10" t="inlineStr">
        <is>
          <t>Most attractive segment</t>
        </is>
      </c>
      <c r="B12" s="11" t="n"/>
      <c r="C12" s="12" t="str">
        <f>INDEX(A6:A10,MATCH(MAX(G6:G10),G6:G10,0))&amp;" ("&amp;TEXT(MAX(G6:G10),"0.00")&amp;" of 5)"</f>
        <v>Cybersecurity learners (4.50 of 5)</v>
      </c>
      <c r="D12" s="11" t="n"/>
      <c r="E12" s="11" t="n"/>
      <c r="F12" s="11" t="n"/>
      <c r="G12" s="11" t="n"/>
      <c r="H12" s="11" t="n"/>
    </row>
    <row r="14">
      <c r="A14" s="13" t="inlineStr">
        <is>
          <t>Basis for the scores</t>
        </is>
      </c>
    </row>
    <row r="15">
      <c r="A15" s="4" t="inlineStr">
        <is>
          <t>Segment</t>
        </is>
      </c>
      <c r="B15" s="4" t="inlineStr">
        <is>
          <t>Growth (Google Trends)</t>
        </is>
      </c>
      <c r="C15" s="11" t="n"/>
      <c r="D15" s="4" t="inlineStr">
        <is>
          <t>Spread across Nigeria (Google Trends)</t>
        </is>
      </c>
      <c r="E15" s="11" t="n"/>
      <c r="F15" s="4" t="inlineStr">
        <is>
          <t>Ability to pay and competition</t>
        </is>
      </c>
      <c r="G15" s="11" t="n"/>
      <c r="H15" s="11" t="n"/>
    </row>
    <row r="16" ht="46" customHeight="1">
      <c r="A16" s="5" t="str">
        <f>A6</f>
        <v>Cybersecurity learners</v>
      </c>
      <c r="B16" s="6" t="inlineStr">
        <is>
          <t>Highest almost all year; jumped to 100 in April 2026 after news of a breach at the CAC</t>
        </is>
      </c>
      <c r="C16" s="11" t="n"/>
      <c r="D16" s="6" t="inlineStr">
        <is>
          <t>Most searched programme in most states, especially in the north and the middle</t>
        </is>
      </c>
      <c r="E16" s="11" t="n"/>
      <c r="F16" s="6" t="inlineStr">
        <is>
          <t>Professionals and employers pay for training and certificates; some competition</t>
        </is>
      </c>
      <c r="G16" s="11" t="n"/>
      <c r="H16" s="11" t="n"/>
    </row>
    <row r="17" ht="46" customHeight="1">
      <c r="A17" s="5" t="str">
        <f>A7</f>
        <v>Digital marketing learners</v>
      </c>
      <c r="B17" s="6" t="inlineStr">
        <is>
          <t>Steady; peaked in late January 2026, then slowly dropped</t>
        </is>
      </c>
      <c r="C17" s="11" t="n"/>
      <c r="D17" s="6" t="inlineStr">
        <is>
          <t>Most searched programme in some southern states</t>
        </is>
      </c>
      <c r="E17" s="11" t="n"/>
      <c r="F17" s="6" t="inlineStr">
        <is>
          <t>Business owners pay to grow sales; many free courses and agencies compete</t>
        </is>
      </c>
      <c r="G17" s="11" t="n"/>
      <c r="H17" s="11" t="n"/>
    </row>
    <row r="18" ht="46" customHeight="1">
      <c r="A18" s="5" t="str">
        <f>A8</f>
        <v>Data analytics learners</v>
      </c>
      <c r="B18" s="6" t="inlineStr">
        <is>
          <t>Steady at a low level, about 15 to 25</t>
        </is>
      </c>
      <c r="C18" s="11" t="n"/>
      <c r="D18" s="6" t="inlineStr">
        <is>
          <t>Did not lead in any state</t>
        </is>
      </c>
      <c r="E18" s="11" t="n"/>
      <c r="F18" s="6" t="inlineStr">
        <is>
          <t>Graduates and employers pay for job skills; some competition</t>
        </is>
      </c>
      <c r="G18" s="11" t="n"/>
      <c r="H18" s="11" t="n"/>
    </row>
    <row r="19" ht="46" customHeight="1">
      <c r="A19" s="5" t="str">
        <f>A9</f>
        <v>Generative AI learners</v>
      </c>
      <c r="B19" s="6" t="inlineStr">
        <is>
          <t>Low (about 10 to 20), but rising searches for free prompt-engineering courses</t>
        </is>
      </c>
      <c r="C19" s="11" t="n"/>
      <c r="D19" s="6" t="inlineStr">
        <is>
          <t>Strongest in Benue, Cross River, FCT (Abuja), Rivers and Kwara</t>
        </is>
      </c>
      <c r="E19" s="11" t="n"/>
      <c r="F19" s="6" t="inlineStr">
        <is>
          <t>Students pay less; few local trainers yet, so little competition</t>
        </is>
      </c>
      <c r="G19" s="11" t="n"/>
      <c r="H19" s="11" t="n"/>
    </row>
    <row r="20" ht="46" customHeight="1">
      <c r="A20" s="5" t="str">
        <f>A10</f>
        <v>Web development learners</v>
      </c>
      <c r="B20" s="6" t="inlineStr">
        <is>
          <t>Low and flat, about 10 to 20</t>
        </is>
      </c>
      <c r="C20" s="11" t="n"/>
      <c r="D20" s="6" t="inlineStr">
        <is>
          <t>Did not lead in any state</t>
        </is>
      </c>
      <c r="E20" s="11" t="n"/>
      <c r="F20" s="6" t="inlineStr">
        <is>
          <t>Young learners pay less; many bootcamps and free tutorials compete</t>
        </is>
      </c>
      <c r="G20" s="11" t="n"/>
      <c r="H20" s="11" t="n"/>
    </row>
  </sheetData>
  <mergeCells count="24">
    <mergeCell ref="F20:H20"/>
    <mergeCell ref="D20:E20"/>
    <mergeCell ref="B16:C16"/>
    <mergeCell ref="F18:H18"/>
    <mergeCell ref="D19:E19"/>
    <mergeCell ref="F17:H17"/>
    <mergeCell ref="A1:H1"/>
    <mergeCell ref="C12:H12"/>
    <mergeCell ref="B18:C18"/>
    <mergeCell ref="B17:C17"/>
    <mergeCell ref="D17:E17"/>
    <mergeCell ref="A12:B12"/>
    <mergeCell ref="A3:H3"/>
    <mergeCell ref="D16:E16"/>
    <mergeCell ref="B19:C19"/>
    <mergeCell ref="A2:H2"/>
    <mergeCell ref="A14:H14"/>
    <mergeCell ref="D18:E18"/>
    <mergeCell ref="F16:H16"/>
    <mergeCell ref="B15:C15"/>
    <mergeCell ref="F19:H19"/>
    <mergeCell ref="D15:E15"/>
    <mergeCell ref="B20:C20"/>
    <mergeCell ref="F15:H15"/>
  </mergeCells>
  <printOptions horizontalCentered="1"/>
  <pageMargins left="0.7" right="0.7" top="0.75" bottom="0.75" header="0.3" footer="0.3"/>
  <pageSetup orientation="landscape" paperSize="9" fitToHeight="1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1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62" customWidth="1" min="2" max="2"/>
    <col width="20" customWidth="1" min="3" max="3"/>
    <col width="34" customWidth="1" min="4" max="4"/>
    <col width="24" customWidth="1" min="5" max="5"/>
  </cols>
  <sheetData>
    <row r="1" ht="21" customHeight="1">
      <c r="A1" s="1" t="inlineStr">
        <is>
          <t>DESK RESEARCH</t>
        </is>
      </c>
    </row>
    <row r="2">
      <c r="A2" s="2" t="inlineStr">
        <is>
          <t>Other research that backs up the Google Trends findings and the scores.</t>
        </is>
      </c>
    </row>
    <row r="3">
      <c r="A3" s="3" t="inlineStr">
        <is>
          <t>Trends data: Google Trends, Nigeria, past 12 months (28 September 2025 to 28 September 2026). Web sources found on 8 October 2026; figures as the sources report them. Click a link to open the source.</t>
        </is>
      </c>
    </row>
    <row r="5" ht="22" customHeight="1">
      <c r="A5" s="4" t="inlineStr">
        <is>
          <t>No.</t>
        </is>
      </c>
      <c r="B5" s="4" t="inlineStr">
        <is>
          <t>Finding</t>
        </is>
      </c>
      <c r="C5" s="4" t="inlineStr">
        <is>
          <t>Segment it supports</t>
        </is>
      </c>
      <c r="D5" s="4" t="inlineStr">
        <is>
          <t>Source</t>
        </is>
      </c>
      <c r="E5" s="4" t="inlineStr">
        <is>
          <t>Link</t>
        </is>
      </c>
    </row>
    <row r="6" ht="48" customHeight="1">
      <c r="A6" s="7" t="n">
        <v>1</v>
      </c>
      <c r="B6" s="6" t="inlineStr">
        <is>
          <t>The CAC confirmed a cyber breach of its systems in April 2026, and the data protection commission (NDPC) opened an investigation.</t>
        </is>
      </c>
      <c r="C6" s="5" t="inlineStr">
        <is>
          <t>Cybersecurity</t>
        </is>
      </c>
      <c r="D6" s="6" t="inlineStr">
        <is>
          <t>AllAfrica, 16 April 2026</t>
        </is>
      </c>
      <c r="E6" s="14" t="inlineStr">
        <is>
          <t>allafrica.com</t>
        </is>
      </c>
    </row>
    <row r="7" ht="48" customHeight="1">
      <c r="A7" s="7" t="n">
        <v>2</v>
      </c>
      <c r="B7" s="6" t="inlineStr">
        <is>
          <t>Nigeria had only about 8,352 cybersecurity professionals in 2023, against 57,269 in South Africa.</t>
        </is>
      </c>
      <c r="C7" s="5" t="inlineStr">
        <is>
          <t>Cybersecurity</t>
        </is>
      </c>
      <c r="D7" s="6" t="inlineStr">
        <is>
          <t>ISC2 figures, reported by CompTIA</t>
        </is>
      </c>
      <c r="E7" s="14" t="inlineStr">
        <is>
          <t>comptia.org</t>
        </is>
      </c>
    </row>
    <row r="8" ht="48" customHeight="1">
      <c r="A8" s="7" t="n">
        <v>3</v>
      </c>
      <c r="B8" s="6" t="inlineStr">
        <is>
          <t>Nigerian organisations faced about 4,388 cyber attacks a week in early 2025, 47% more than a year before.</t>
        </is>
      </c>
      <c r="C8" s="5" t="inlineStr">
        <is>
          <t>Cybersecurity</t>
        </is>
      </c>
      <c r="D8" s="6" t="inlineStr">
        <is>
          <t>Check Point, reported by BusinessDay</t>
        </is>
      </c>
      <c r="E8" s="14" t="inlineStr">
        <is>
          <t>businessday.ng</t>
        </is>
      </c>
    </row>
    <row r="9" ht="48" customHeight="1">
      <c r="A9" s="7" t="n">
        <v>4</v>
      </c>
      <c r="B9" s="6" t="inlineStr">
        <is>
          <t>About 14 million Nigerian small businesses used Facebook, Instagram and WhatsApp in 2025.</t>
        </is>
      </c>
      <c r="C9" s="5" t="inlineStr">
        <is>
          <t>Digital marketing</t>
        </is>
      </c>
      <c r="D9" s="6" t="inlineStr">
        <is>
          <t>Public First report for Meta, reported by IT Edge News</t>
        </is>
      </c>
      <c r="E9" s="14" t="inlineStr">
        <is>
          <t>itedgenews.africa</t>
        </is>
      </c>
    </row>
    <row r="10" ht="48" customHeight="1">
      <c r="A10" s="7" t="n">
        <v>5</v>
      </c>
      <c r="B10" s="6" t="inlineStr">
        <is>
          <t>The government's 3MTT programme aims to train three million tech talents by 2027, so demand for tech skills is growing, but free training also competes.</t>
        </is>
      </c>
      <c r="C10" s="5" t="inlineStr">
        <is>
          <t>All five</t>
        </is>
      </c>
      <c r="D10" s="6" t="inlineStr">
        <is>
          <t>Federal Ministry of Communications, Innovation and Digital Economy</t>
        </is>
      </c>
      <c r="E10" s="14" t="inlineStr">
        <is>
          <t>3mtt.nitda.gov.ng</t>
        </is>
      </c>
    </row>
  </sheetData>
  <mergeCells count="3">
    <mergeCell ref="A2:E2"/>
    <mergeCell ref="A1:E1"/>
    <mergeCell ref="A3:E3"/>
  </mergeCells>
  <hyperlinks>
    <hyperlink xmlns:r="http://schemas.openxmlformats.org/officeDocument/2006/relationships" ref="E6" r:id="rId1"/>
    <hyperlink xmlns:r="http://schemas.openxmlformats.org/officeDocument/2006/relationships" ref="E7" r:id="rId2"/>
    <hyperlink xmlns:r="http://schemas.openxmlformats.org/officeDocument/2006/relationships" ref="E8" r:id="rId3"/>
    <hyperlink xmlns:r="http://schemas.openxmlformats.org/officeDocument/2006/relationships" ref="E9" r:id="rId4"/>
    <hyperlink xmlns:r="http://schemas.openxmlformats.org/officeDocument/2006/relationships" ref="E10" r:id="rId5"/>
  </hyperlinks>
  <printOptions horizontalCentered="1"/>
  <pageMargins left="0.7" right="0.7" top="0.75" bottom="0.75" header="0.3" footer="0.3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Segmentation Matrix</dc:title>
  <dc:subject xmlns:dc="http://purl.org/dc/elements/1.1/">Segmentation matrix of SkillUp Academy, supported by Google Trends</dc:subject>
  <dcterms:created xmlns:dcterms="http://purl.org/dc/terms/" xmlns:xsi="http://www.w3.org/2001/XMLSchema-instance" xsi:type="dcterms:W3CDTF">2026-10-08T20:03:50Z</dcterms:created>
  <dcterms:modified xmlns:dcterms="http://purl.org/dc/terms/" xmlns:xsi="http://www.w3.org/2001/XMLSchema-instance" xsi:type="dcterms:W3CDTF">2026-10-08T20:03:50Z</dcterms:modified>
  <cp:lastModifiedBy/>
</cp:coreProperties>
</file>