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ing Budget" sheetId="1" state="visible" r:id="rId1"/>
  </sheets>
  <definedNames>
    <definedName name="_xlnm.Print_Area" localSheetId="0">'Marketing Budget'!$A$1:$G$48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_);($#,##0);&quot;-&quot;_)"/>
    <numFmt numFmtId="165" formatCode="0.0%_);(0.0%);&quot;-&quot;_)"/>
  </numFmts>
  <fonts count="11">
    <font>
      <name val="Arial"/>
      <family val="2"/>
      <sz val="10"/>
    </font>
    <font>
      <name val="Arial"/>
      <b val="1"/>
      <color rgb="00FFFFFF"/>
      <sz val="16"/>
    </font>
    <font>
      <name val="Arial"/>
      <i val="1"/>
      <color rgb="005B6475"/>
      <sz val="10"/>
    </font>
    <font>
      <name val="Arial"/>
      <b val="1"/>
      <color rgb="00FFFFFF"/>
      <sz val="10"/>
    </font>
    <font>
      <name val="Arial"/>
      <color rgb="001B2436"/>
      <sz val="10"/>
    </font>
    <font>
      <name val="Arial"/>
      <color rgb="000000FF"/>
      <sz val="10"/>
    </font>
    <font>
      <name val="Arial"/>
      <b val="1"/>
      <color rgb="001B2436"/>
      <sz val="10"/>
    </font>
    <font>
      <name val="Arial"/>
      <b val="1"/>
      <color rgb="001B2436"/>
      <sz val="10.5"/>
    </font>
    <font>
      <name val="Arial"/>
      <b val="1"/>
      <i val="1"/>
      <color rgb="001B2436"/>
      <sz val="10"/>
    </font>
    <font>
      <name val="Arial"/>
      <i val="1"/>
      <color rgb="001B2436"/>
      <sz val="10"/>
    </font>
    <font>
      <name val="Arial"/>
      <color rgb="005B6475"/>
      <sz val="9"/>
    </font>
  </fonts>
  <fills count="7">
    <fill>
      <patternFill/>
    </fill>
    <fill>
      <patternFill patternType="gray125"/>
    </fill>
    <fill>
      <patternFill patternType="solid">
        <fgColor rgb="001B2436"/>
        <bgColor rgb="001B2436"/>
      </patternFill>
    </fill>
    <fill>
      <patternFill patternType="solid">
        <fgColor rgb="00FFFFFF"/>
        <bgColor rgb="00FFFFFF"/>
      </patternFill>
    </fill>
    <fill>
      <patternFill patternType="solid">
        <fgColor rgb="00F3F5F9"/>
        <bgColor rgb="00F3F5F9"/>
      </patternFill>
    </fill>
    <fill>
      <patternFill patternType="solid">
        <fgColor rgb="00DCE3EE"/>
        <bgColor rgb="00DCE3EE"/>
      </patternFill>
    </fill>
    <fill>
      <patternFill patternType="solid">
        <fgColor rgb="00EEF1F6"/>
        <bgColor rgb="00EEF1F6"/>
      </patternFill>
    </fill>
  </fills>
  <borders count="3">
    <border>
      <left/>
      <right/>
      <top/>
      <bottom/>
      <diagonal/>
    </border>
    <border>
      <left style="thin">
        <color rgb="00C9D0DC"/>
      </left>
      <right style="thin">
        <color rgb="00C9D0DC"/>
      </right>
      <top style="thin">
        <color rgb="00C9D0DC"/>
      </top>
      <bottom style="thin">
        <color rgb="00C9D0DC"/>
      </bottom>
    </border>
    <border>
      <left style="thin">
        <color rgb="00C9D0DC"/>
      </left>
      <right style="thin">
        <color rgb="00C9D0DC"/>
      </right>
      <top style="medium">
        <color rgb="001B2436"/>
      </top>
      <bottom style="thin">
        <color rgb="00C9D0D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indent="1"/>
    </xf>
    <xf numFmtId="164" fontId="5" fillId="3" borderId="1" applyAlignment="1" pivotButton="0" quotePrefix="0" xfId="0">
      <alignment horizontal="right" vertical="center"/>
    </xf>
    <xf numFmtId="164" fontId="6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 indent="1"/>
    </xf>
    <xf numFmtId="164" fontId="5" fillId="4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7" fillId="5" borderId="2" applyAlignment="1" pivotButton="0" quotePrefix="0" xfId="0">
      <alignment horizontal="left" vertical="center" indent="1"/>
    </xf>
    <xf numFmtId="164" fontId="7" fillId="5" borderId="2" applyAlignment="1" pivotButton="0" quotePrefix="0" xfId="0">
      <alignment horizontal="right" vertical="center"/>
    </xf>
    <xf numFmtId="0" fontId="8" fillId="6" borderId="1" applyAlignment="1" pivotButton="0" quotePrefix="0" xfId="0">
      <alignment horizontal="left" vertical="center" indent="1"/>
    </xf>
    <xf numFmtId="164" fontId="8" fillId="6" borderId="1" applyAlignment="1" pivotButton="0" quotePrefix="0" xfId="0">
      <alignment horizontal="right" vertical="center"/>
    </xf>
    <xf numFmtId="0" fontId="9" fillId="3" borderId="1" applyAlignment="1" pivotButton="0" quotePrefix="0" xfId="0">
      <alignment horizontal="left" vertical="center" indent="1"/>
    </xf>
    <xf numFmtId="165" fontId="9" fillId="3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0" fillId="2" borderId="1" pivotButton="0" quotePrefix="0" xfId="0"/>
    <xf numFmtId="0" fontId="0" fillId="3" borderId="1" pivotButton="0" quotePrefix="0" xfId="0"/>
    <xf numFmtId="0" fontId="10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10" fillId="4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solidFill>
                  <a:srgbClr val="1B2436"/>
                </a:solidFill>
                <a:latin typeface="Arial"/>
              </a:defRPr>
            </a:pPr>
            <a:r>
              <a:rPr sz="1200" b="1">
                <a:solidFill>
                  <a:srgbClr val="1B2436"/>
                </a:solidFill>
                <a:latin typeface="Arial"/>
              </a:rPr>
              <a:t>Total Budget by Unit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noFill/>
              <a:prstDash val="solid"/>
            </a:ln>
          </spPr>
          <dPt>
            <idx val="0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B683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1BAF7A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EDA100"/>
              </a:solidFill>
              <a:ln xmlns:a="http://schemas.openxmlformats.org/drawingml/2006/main">
                <a:noFill/>
                <a:prstDash val="solid"/>
              </a:ln>
            </spPr>
          </dPt>
          <cat>
            <numRef>
              <f>'Marketing Budget'!$B$4:$E$4</f>
            </numRef>
          </cat>
          <val>
            <numRef>
              <f>'Marketing Budget'!$B$13:$E$13</f>
            </numRef>
          </val>
        </ser>
        <dLbls>
          <numFmt formatCode="$#,##0"/>
          <txPr>
            <a:bodyPr xmlns:a="http://schemas.openxmlformats.org/drawingml/2006/main"/>
            <a:p xmlns:a="http://schemas.openxmlformats.org/drawingml/2006/main">
              <a:pPr>
                <a:defRPr sz="900" b="1">
                  <a:solidFill>
                    <a:srgbClr val="1B2436"/>
                  </a:solidFill>
                  <a:latin typeface="Arial"/>
                </a:defRPr>
              </a:pPr>
              <a:r>
                <a:t/>
              </a:r>
              <a:endParaRPr sz="900" b="1">
                <a:solidFill>
                  <a:srgbClr val="1B2436"/>
                </a:solidFill>
                <a:latin typeface="Arial"/>
              </a:endParaRPr>
            </a:p>
          </txPr>
          <dLblPos val="outEnd"/>
          <showLegendKey val="0"/>
          <showVal val="1"/>
          <showCatName val="0"/>
          <showSerName val="0"/>
          <showPercent val="0"/>
        </dLbls>
        <gapWidth val="7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3C8D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1B2436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1B2436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1E4EA"/>
              </a:solidFill>
              <a:prstDash val="solid"/>
            </a:ln>
          </spPr>
        </majorGridlines>
        <numFmt formatCode="$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5B6475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5B6475"/>
              </a:solidFill>
              <a:latin typeface="Arial"/>
            </a:endParaRPr>
          </a:p>
        </txPr>
        <crossAx val="10"/>
      </valAx>
    </plotArea>
    <plotVisOnly val="1"/>
    <dispBlanksAs val="gap"/>
  </chart>
  <spPr>
    <a:ln xmlns:a="http://schemas.openxmlformats.org/drawingml/2006/main" w="9525">
      <a:solidFill>
        <a:srgbClr val="D5DAE3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solidFill>
                  <a:srgbClr val="1B2436"/>
                </a:solidFill>
                <a:latin typeface="Arial"/>
              </a:defRPr>
            </a:pPr>
            <a:r>
              <a:rPr sz="1200" b="1">
                <a:solidFill>
                  <a:srgbClr val="1B2436"/>
                </a:solidFill>
                <a:latin typeface="Arial"/>
              </a:rPr>
              <a:t>Share of Department Budget</a:t>
            </a:r>
          </a:p>
        </rich>
      </tx>
      <overlay val="0"/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A78D6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B6834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1BAF7A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EDA100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cat>
            <numRef>
              <f>'Marketing Budget'!$B$4:$E$4</f>
            </numRef>
          </cat>
          <val>
            <numRef>
              <f>'Marketing Budget'!$B$13:$E$13</f>
            </numRef>
          </val>
        </ser>
        <dLbls>
          <numFmt formatCode="0.0%"/>
          <txPr>
            <a:bodyPr xmlns:a="http://schemas.openxmlformats.org/drawingml/2006/main"/>
            <a:p xmlns:a="http://schemas.openxmlformats.org/drawingml/2006/main">
              <a:pPr>
                <a:defRPr sz="900" b="1">
                  <a:solidFill>
                    <a:srgbClr val="1B2436"/>
                  </a:solidFill>
                  <a:latin typeface="Arial"/>
                </a:defRPr>
              </a:pPr>
              <a:r>
                <a:t/>
              </a:r>
              <a:endParaRPr sz="900" b="1">
                <a:solidFill>
                  <a:srgbClr val="1B2436"/>
                </a:solidFill>
                <a:latin typeface="Arial"/>
              </a:endParaRPr>
            </a:p>
          </txPr>
          <showLegendKey val="0"/>
          <showVal val="0"/>
          <showCatName val="0"/>
          <showSerName val="0"/>
          <showPercent val="1"/>
          <showLeaderLines val="0"/>
        </dLbls>
        <firstSliceAng val="0"/>
        <holeSize val="52"/>
      </doughnutChart>
    </plotArea>
    <legend>
      <legendPos val="r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1B2436"/>
              </a:solidFill>
              <a:latin typeface="Arial"/>
            </a:defRPr>
          </a:pPr>
          <a:r>
            <a:t/>
          </a:r>
          <a:endParaRPr sz="900" b="0">
            <a:solidFill>
              <a:srgbClr val="1B2436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 w="9525">
      <a:solidFill>
        <a:srgbClr val="D5DAE3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31</row>
      <rowOff>0</rowOff>
    </from>
    <ext cx="4896000" cy="2951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31</row>
      <rowOff>0</rowOff>
    </from>
    <ext cx="4680000" cy="295199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B2436"/>
    <outlinePr summaryBelow="1" summaryRight="1"/>
    <pageSetUpPr fitToPage="1"/>
  </sheetPr>
  <dimension ref="A1:G30"/>
  <sheetViews>
    <sheetView showGridLines="0" zoomScale="10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4" customHeight="1">
      <c r="A1" s="1" t="inlineStr">
        <is>
          <t>MARKETING DEPARTMENT BUDGET 2026</t>
        </is>
      </c>
    </row>
    <row r="2" ht="20" customHeight="1">
      <c r="A2" s="2" t="inlineStr">
        <is>
          <t>Annual budget by unit: Advertising (Ads), Marketing, Public Relations (PR) and e-Business. All amounts in US$.</t>
        </is>
      </c>
    </row>
    <row r="3" ht="8" customHeight="1"/>
    <row r="4" ht="30" customHeight="1">
      <c r="A4" s="3" t="inlineStr">
        <is>
          <t>Budget Item</t>
        </is>
      </c>
      <c r="B4" s="4" t="inlineStr">
        <is>
          <t>Advertising</t>
        </is>
      </c>
      <c r="C4" s="4" t="inlineStr">
        <is>
          <t>Marketing</t>
        </is>
      </c>
      <c r="D4" s="4" t="inlineStr">
        <is>
          <t>Public Relations</t>
        </is>
      </c>
      <c r="E4" s="4" t="inlineStr">
        <is>
          <t>e-Business</t>
        </is>
      </c>
      <c r="F4" s="4" t="inlineStr">
        <is>
          <t>Total</t>
        </is>
      </c>
      <c r="G4" s="4" t="inlineStr">
        <is>
          <t>Average per Unit</t>
        </is>
      </c>
    </row>
    <row r="5" ht="21" customHeight="1">
      <c r="A5" s="5" t="inlineStr">
        <is>
          <t>Staff Salaries &amp; Benefits</t>
        </is>
      </c>
      <c r="B5" s="6" t="n">
        <v>66000</v>
      </c>
      <c r="C5" s="6" t="n">
        <v>68000</v>
      </c>
      <c r="D5" s="6" t="n">
        <v>44000</v>
      </c>
      <c r="E5" s="6" t="n">
        <v>56000</v>
      </c>
      <c r="F5" s="7">
        <f>SUM(B5:E5)</f>
        <v>234000</v>
      </c>
      <c r="G5" s="8">
        <f>AVERAGE(B5:E5)</f>
        <v>58500</v>
      </c>
    </row>
    <row r="6" ht="21" customHeight="1">
      <c r="A6" s="9" t="inlineStr">
        <is>
          <t>Media &amp; Advertising Space</t>
        </is>
      </c>
      <c r="B6" s="10" t="n">
        <v>150000</v>
      </c>
      <c r="C6" s="10" t="n">
        <v>20000</v>
      </c>
      <c r="D6" s="10" t="n">
        <v>8000</v>
      </c>
      <c r="E6" s="10" t="n">
        <v>28000</v>
      </c>
      <c r="F6" s="11">
        <f>SUM(B6:E6)</f>
        <v>206000</v>
      </c>
      <c r="G6" s="12">
        <f>AVERAGE(B6:E6)</f>
        <v>51500</v>
      </c>
    </row>
    <row r="7" ht="21" customHeight="1">
      <c r="A7" s="5" t="inlineStr">
        <is>
          <t>Events, Sponsorships &amp; Promotions</t>
        </is>
      </c>
      <c r="B7" s="6" t="n">
        <v>12000</v>
      </c>
      <c r="C7" s="6" t="n">
        <v>70000</v>
      </c>
      <c r="D7" s="6" t="n">
        <v>38000</v>
      </c>
      <c r="E7" s="6" t="n">
        <v>8000</v>
      </c>
      <c r="F7" s="7">
        <f>SUM(B7:E7)</f>
        <v>128000</v>
      </c>
      <c r="G7" s="8">
        <f>AVERAGE(B7:E7)</f>
        <v>32000</v>
      </c>
    </row>
    <row r="8" ht="21" customHeight="1">
      <c r="A8" s="9" t="inlineStr">
        <is>
          <t>Digital Platforms &amp; Technology</t>
        </is>
      </c>
      <c r="B8" s="10" t="n">
        <v>10000</v>
      </c>
      <c r="C8" s="10" t="n">
        <v>12000</v>
      </c>
      <c r="D8" s="10" t="n">
        <v>6000</v>
      </c>
      <c r="E8" s="10" t="n">
        <v>60000</v>
      </c>
      <c r="F8" s="11">
        <f>SUM(B8:E8)</f>
        <v>88000</v>
      </c>
      <c r="G8" s="12">
        <f>AVERAGE(B8:E8)</f>
        <v>22000</v>
      </c>
    </row>
    <row r="9" ht="21" customHeight="1">
      <c r="A9" s="5" t="inlineStr">
        <is>
          <t>Market Research &amp; Analytics</t>
        </is>
      </c>
      <c r="B9" s="6" t="n">
        <v>8000</v>
      </c>
      <c r="C9" s="6" t="n">
        <v>35000</v>
      </c>
      <c r="D9" s="6" t="n">
        <v>5000</v>
      </c>
      <c r="E9" s="6" t="n">
        <v>12000</v>
      </c>
      <c r="F9" s="7">
        <f>SUM(B9:E9)</f>
        <v>60000</v>
      </c>
      <c r="G9" s="8">
        <f>AVERAGE(B9:E9)</f>
        <v>15000</v>
      </c>
    </row>
    <row r="10" ht="21" customHeight="1">
      <c r="A10" s="9" t="inlineStr">
        <is>
          <t>Printing &amp; Promotional Materials</t>
        </is>
      </c>
      <c r="B10" s="10" t="n">
        <v>28000</v>
      </c>
      <c r="C10" s="10" t="n">
        <v>25000</v>
      </c>
      <c r="D10" s="10" t="n">
        <v>12000</v>
      </c>
      <c r="E10" s="10" t="n">
        <v>2000</v>
      </c>
      <c r="F10" s="11">
        <f>SUM(B10:E10)</f>
        <v>67000</v>
      </c>
      <c r="G10" s="12">
        <f>AVERAGE(B10:E10)</f>
        <v>16750</v>
      </c>
    </row>
    <row r="11" ht="21" customHeight="1">
      <c r="A11" s="5" t="inlineStr">
        <is>
          <t>Training &amp; Travel</t>
        </is>
      </c>
      <c r="B11" s="6" t="n">
        <v>6000</v>
      </c>
      <c r="C11" s="6" t="n">
        <v>18000</v>
      </c>
      <c r="D11" s="6" t="n">
        <v>9000</v>
      </c>
      <c r="E11" s="6" t="n">
        <v>6000</v>
      </c>
      <c r="F11" s="7">
        <f>SUM(B11:E11)</f>
        <v>39000</v>
      </c>
      <c r="G11" s="8">
        <f>AVERAGE(B11:E11)</f>
        <v>9750</v>
      </c>
    </row>
    <row r="12" ht="21" customHeight="1">
      <c r="A12" s="9" t="inlineStr">
        <is>
          <t>Agency &amp; Consultancy Fees</t>
        </is>
      </c>
      <c r="B12" s="10" t="n">
        <v>40000</v>
      </c>
      <c r="C12" s="10" t="n">
        <v>12000</v>
      </c>
      <c r="D12" s="10" t="n">
        <v>8000</v>
      </c>
      <c r="E12" s="10" t="n">
        <v>8000</v>
      </c>
      <c r="F12" s="11">
        <f>SUM(B12:E12)</f>
        <v>68000</v>
      </c>
      <c r="G12" s="12">
        <f>AVERAGE(B12:E12)</f>
        <v>17000</v>
      </c>
    </row>
    <row r="13" ht="24" customHeight="1">
      <c r="A13" s="13" t="inlineStr">
        <is>
          <t>Total Budget</t>
        </is>
      </c>
      <c r="B13" s="14">
        <f>SUM(B5:B12)</f>
        <v>320000</v>
      </c>
      <c r="C13" s="14">
        <f>SUM(C5:C12)</f>
        <v>260000</v>
      </c>
      <c r="D13" s="14">
        <f>SUM(D5:D12)</f>
        <v>130000</v>
      </c>
      <c r="E13" s="14">
        <f>SUM(E5:E12)</f>
        <v>180000</v>
      </c>
      <c r="F13" s="14">
        <f>SUM(B13:E13)</f>
        <v>890000</v>
      </c>
      <c r="G13" s="14">
        <f>AVERAGE(B13:E13)</f>
        <v>222500</v>
      </c>
    </row>
    <row r="14" ht="22" customHeight="1">
      <c r="A14" s="15" t="inlineStr">
        <is>
          <t>Average per Budget Item</t>
        </is>
      </c>
      <c r="B14" s="16">
        <f>AVERAGE(B5:B12)</f>
        <v>40000</v>
      </c>
      <c r="C14" s="16">
        <f>AVERAGE(C5:C12)</f>
        <v>32500</v>
      </c>
      <c r="D14" s="16">
        <f>AVERAGE(D5:D12)</f>
        <v>16250</v>
      </c>
      <c r="E14" s="16">
        <f>AVERAGE(E5:E12)</f>
        <v>22500</v>
      </c>
      <c r="F14" s="16">
        <f>AVERAGE(F5:F12)</f>
        <v>111250</v>
      </c>
      <c r="G14" s="16">
        <f>AVERAGE(G5:G12)</f>
        <v>27812.5</v>
      </c>
    </row>
    <row r="15" ht="21" customHeight="1">
      <c r="A15" s="17" t="inlineStr">
        <is>
          <t>Share of Total Budget</t>
        </is>
      </c>
      <c r="B15" s="18">
        <f>IF($F$13=0,0,B13/$F$13)</f>
        <v>0.359550561797753</v>
      </c>
      <c r="C15" s="18">
        <f>IF($F$13=0,0,C13/$F$13)</f>
        <v>0.292134831460674</v>
      </c>
      <c r="D15" s="18">
        <f>IF($F$13=0,0,D13/$F$13)</f>
        <v>0.146067415730337</v>
      </c>
      <c r="E15" s="18">
        <f>IF($F$13=0,0,E13/$F$13)</f>
        <v>0.202247191011236</v>
      </c>
      <c r="F15" s="18">
        <f>SUM(B15:E15)</f>
        <v>1</v>
      </c>
      <c r="G15" s="18">
        <f>AVERAGE(B15:E15)</f>
        <v>0.25</v>
      </c>
    </row>
    <row r="17" ht="17" customHeight="1">
      <c r="A17" s="19" t="inlineStr">
        <is>
          <t>Notes</t>
        </is>
      </c>
    </row>
    <row r="18" ht="17" customHeight="1">
      <c r="A18" s="20" t="inlineStr">
        <is>
          <t>• Blue figures are the budget inputs. Change any of them and every total, average, share, analysis figure and chart updates automatically.</t>
        </is>
      </c>
    </row>
    <row r="19" ht="17" customHeight="1">
      <c r="A19" s="20" t="inlineStr">
        <is>
          <t>• Black figures are formulas: SUM gives the totals and AVERAGE gives the averages. Click any black figure to see its formula in the formula bar.</t>
        </is>
      </c>
    </row>
    <row r="20" ht="17" customHeight="1">
      <c r="A20" s="20" t="inlineStr">
        <is>
          <t>• The budget figures are illustrative sample data prepared for this assignment.</t>
        </is>
      </c>
    </row>
    <row r="22" ht="24" customHeight="1">
      <c r="A22" s="3" t="inlineStr">
        <is>
          <t>Budget Analysis</t>
        </is>
      </c>
      <c r="B22" s="4" t="inlineStr">
        <is>
          <t>Amount</t>
        </is>
      </c>
      <c r="C22" s="4" t="inlineStr">
        <is>
          <t>Unit / Budget Item</t>
        </is>
      </c>
      <c r="D22" s="21" t="n"/>
      <c r="E22" s="21" t="n"/>
      <c r="F22" s="4" t="inlineStr">
        <is>
          <t>Excel Function Used</t>
        </is>
      </c>
      <c r="G22" s="21" t="n"/>
    </row>
    <row r="23" ht="21" customHeight="1">
      <c r="A23" s="5" t="inlineStr">
        <is>
          <t>Total department budget</t>
        </is>
      </c>
      <c r="B23" s="7">
        <f>SUM(B13:E13)</f>
        <v>890000</v>
      </c>
      <c r="C23" s="5" t="inlineStr">
        <is>
          <t>All four units combined</t>
        </is>
      </c>
      <c r="D23" s="22" t="n"/>
      <c r="E23" s="22" t="n"/>
      <c r="F23" s="23" t="inlineStr">
        <is>
          <t>SUM</t>
        </is>
      </c>
      <c r="G23" s="22" t="n"/>
    </row>
    <row r="24" ht="21" customHeight="1">
      <c r="A24" s="9" t="inlineStr">
        <is>
          <t>Average budget per unit</t>
        </is>
      </c>
      <c r="B24" s="11">
        <f>AVERAGE(B13:E13)</f>
        <v>222500</v>
      </c>
      <c r="C24" s="9" t="str">
        <f>"Total budget ÷ "&amp;COUNTA($B$4:$E$4)&amp;" units"</f>
        <v>Total budget ÷ 4 units</v>
      </c>
      <c r="D24" s="24" t="n"/>
      <c r="E24" s="24" t="n"/>
      <c r="F24" s="25" t="inlineStr">
        <is>
          <t>AVERAGE, COUNTA</t>
        </is>
      </c>
      <c r="G24" s="24" t="n"/>
    </row>
    <row r="25" ht="21" customHeight="1">
      <c r="A25" s="5" t="inlineStr">
        <is>
          <t>Highest unit budget</t>
        </is>
      </c>
      <c r="B25" s="7">
        <f>MAX(B13:E13)</f>
        <v>320000</v>
      </c>
      <c r="C25" s="5" t="str">
        <f>INDEX($B$4:$E$4,MATCH(B25,$B$13:$E$13,0))</f>
        <v>Advertising</v>
      </c>
      <c r="D25" s="22" t="n"/>
      <c r="E25" s="22" t="n"/>
      <c r="F25" s="23" t="inlineStr">
        <is>
          <t>MAX, INDEX / MATCH</t>
        </is>
      </c>
      <c r="G25" s="22" t="n"/>
    </row>
    <row r="26" ht="21" customHeight="1">
      <c r="A26" s="9" t="inlineStr">
        <is>
          <t>Lowest unit budget</t>
        </is>
      </c>
      <c r="B26" s="11">
        <f>MIN(B13:E13)</f>
        <v>130000</v>
      </c>
      <c r="C26" s="9" t="str">
        <f>INDEX($B$4:$E$4,MATCH(B26,$B$13:$E$13,0))</f>
        <v>Public Relations</v>
      </c>
      <c r="D26" s="24" t="n"/>
      <c r="E26" s="24" t="n"/>
      <c r="F26" s="25" t="inlineStr">
        <is>
          <t>MIN, INDEX / MATCH</t>
        </is>
      </c>
      <c r="G26" s="24" t="n"/>
    </row>
    <row r="27" ht="21" customHeight="1">
      <c r="A27" s="5" t="inlineStr">
        <is>
          <t>Largest budget item (all units)</t>
        </is>
      </c>
      <c r="B27" s="7">
        <f>MAX(F5:F12)</f>
        <v>234000</v>
      </c>
      <c r="C27" s="5" t="str">
        <f>INDEX($A$5:$A$12,MATCH(B27,$F$5:$F$12,0))</f>
        <v>Staff Salaries &amp; Benefits</v>
      </c>
      <c r="D27" s="22" t="n"/>
      <c r="E27" s="22" t="n"/>
      <c r="F27" s="23" t="inlineStr">
        <is>
          <t>MAX, INDEX / MATCH</t>
        </is>
      </c>
      <c r="G27" s="22" t="n"/>
    </row>
    <row r="28" ht="21" customHeight="1">
      <c r="A28" s="9" t="inlineStr">
        <is>
          <t>Average cost per budget item</t>
        </is>
      </c>
      <c r="B28" s="11">
        <f>AVERAGE(F5:F12)</f>
        <v>111250</v>
      </c>
      <c r="C28" s="9" t="str">
        <f>"Total budget ÷ "&amp;COUNTA($A$5:$A$12)&amp;" budget items"</f>
        <v>Total budget ÷ 8 budget items</v>
      </c>
      <c r="D28" s="24" t="n"/>
      <c r="E28" s="24" t="n"/>
      <c r="F28" s="25" t="inlineStr">
        <is>
          <t>AVERAGE, COUNTA</t>
        </is>
      </c>
      <c r="G28" s="24" t="n"/>
    </row>
    <row r="30" ht="24" customHeight="1">
      <c r="A30" s="26" t="inlineStr">
        <is>
          <t>Budget Charts</t>
        </is>
      </c>
    </row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</sheetData>
  <mergeCells count="21">
    <mergeCell ref="A17:G17"/>
    <mergeCell ref="F25:G25"/>
    <mergeCell ref="C22:E22"/>
    <mergeCell ref="A20:G20"/>
    <mergeCell ref="A19:G19"/>
    <mergeCell ref="F24:G24"/>
    <mergeCell ref="C27:E27"/>
    <mergeCell ref="C23:E23"/>
    <mergeCell ref="A30:G30"/>
    <mergeCell ref="F26:G26"/>
    <mergeCell ref="C28:E28"/>
    <mergeCell ref="A1:G1"/>
    <mergeCell ref="F23:G23"/>
    <mergeCell ref="F22:G22"/>
    <mergeCell ref="F28:G28"/>
    <mergeCell ref="F27:G27"/>
    <mergeCell ref="C24:E24"/>
    <mergeCell ref="A18:G18"/>
    <mergeCell ref="A2:G2"/>
    <mergeCell ref="C26:E26"/>
    <mergeCell ref="C25:E25"/>
  </mergeCells>
  <printOptions horizontalCentered="1"/>
  <pageMargins left="0.4" right="0.4" top="0.5" bottom="0.5" header="0.3" footer="0.3"/>
  <pageSetup orientation="landscape" paperSize="9" fitToHeight="1" fitToWidth="1"/>
  <headerFooter>
    <oddHeader/>
    <oddFooter>&amp;C&amp;8 Marketing Department Budget 2026 -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Marketing Department</dc:creator>
  <dc:title xmlns:dc="http://purl.org/dc/elements/1.1/">Marketing Department Budget 2026</dc:title>
  <dc:subject xmlns:dc="http://purl.org/dc/elements/1.1/">Budget by unit: Advertising, Marketing, Public Relations, e-Business</dc:subject>
  <dcterms:created xmlns:dcterms="http://purl.org/dc/terms/" xmlns:xsi="http://www.w3.org/2001/XMLSchema-instance" xsi:type="dcterms:W3CDTF">2026-09-27T11:06:49Z</dcterms:created>
  <dcterms:modified xmlns:dcterms="http://purl.org/dc/terms/" xmlns:xsi="http://www.w3.org/2001/XMLSchema-instance" xsi:type="dcterms:W3CDTF">2026-09-27T11:06:49Z</dcterms:modified>
  <cp:lastModifiedBy>Marketing Department</cp:lastModifiedBy>
  <cp:keywords>budget, marketing, SUM, AVERAGE</cp:keywords>
</cp:coreProperties>
</file>