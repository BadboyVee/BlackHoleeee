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rgb="00000000"/>
      <sz val="11"/>
      <scheme val="minor"/>
    </font>
    <font>
      <name val="Calibri"/>
      <family val="2"/>
      <b val="1"/>
      <color theme="4" tint="-0.499984740745262"/>
      <sz val="14"/>
      <scheme val="minor"/>
    </font>
    <font>
      <name val="Calibri"/>
      <family val="2"/>
      <i val="1"/>
      <color rgb="000000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00000000"/>
      <sz val="11"/>
      <scheme val="minor"/>
    </font>
    <font>
      <name val="Calibri"/>
      <family val="2"/>
      <b val="1"/>
      <color theme="4" tint="-0.499984740745262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b val="1"/>
        <color theme="5" tint="-0.24997711111789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1" customHeight="1">
      <c r="A1" s="1" t="inlineStr">
        <is>
          <t>TEST RESULTS OF 25 STUDENTS IN 7 SUBJECTS</t>
        </is>
      </c>
    </row>
    <row r="2">
      <c r="A2" s="2" t="inlineStr">
        <is>
          <t>Each subject is scored out of 100. The grades, totals, averages and positions are worked out with formulas (IF, SUM, AVERAGE and RANK).</t>
        </is>
      </c>
    </row>
    <row r="3" ht="30" customHeight="1">
      <c r="A3" s="3" t="inlineStr">
        <is>
          <t>S/N</t>
        </is>
      </c>
      <c r="B3" s="3" t="inlineStr">
        <is>
          <t>Name of Student</t>
        </is>
      </c>
      <c r="C3" s="3" t="inlineStr">
        <is>
          <t>Mathematics</t>
        </is>
      </c>
      <c r="D3" s="4" t="n"/>
      <c r="E3" s="3" t="inlineStr">
        <is>
          <t>English Language</t>
        </is>
      </c>
      <c r="F3" s="4" t="n"/>
      <c r="G3" s="3" t="inlineStr">
        <is>
          <t>Physics</t>
        </is>
      </c>
      <c r="H3" s="4" t="n"/>
      <c r="I3" s="3" t="inlineStr">
        <is>
          <t>Chemistry</t>
        </is>
      </c>
      <c r="J3" s="4" t="n"/>
      <c r="K3" s="3" t="inlineStr">
        <is>
          <t>Biology</t>
        </is>
      </c>
      <c r="L3" s="4" t="n"/>
      <c r="M3" s="3" t="inlineStr">
        <is>
          <t>Economics</t>
        </is>
      </c>
      <c r="N3" s="4" t="n"/>
      <c r="O3" s="3" t="inlineStr">
        <is>
          <t>Computer Studies</t>
        </is>
      </c>
      <c r="P3" s="4" t="n"/>
      <c r="Q3" s="3" t="inlineStr">
        <is>
          <t>Total</t>
        </is>
      </c>
      <c r="R3" s="3" t="inlineStr">
        <is>
          <t>Average</t>
        </is>
      </c>
      <c r="S3" s="3" t="inlineStr">
        <is>
          <t>Overall Grade</t>
        </is>
      </c>
      <c r="T3" s="3" t="inlineStr">
        <is>
          <t>Position</t>
        </is>
      </c>
    </row>
    <row r="4" ht="18" customHeight="1">
      <c r="A4" s="4" t="n"/>
      <c r="B4" s="4" t="n"/>
      <c r="C4" s="3" t="inlineStr">
        <is>
          <t>Score</t>
        </is>
      </c>
      <c r="D4" s="3" t="inlineStr">
        <is>
          <t>Grade</t>
        </is>
      </c>
      <c r="E4" s="3" t="inlineStr">
        <is>
          <t>Score</t>
        </is>
      </c>
      <c r="F4" s="3" t="inlineStr">
        <is>
          <t>Grade</t>
        </is>
      </c>
      <c r="G4" s="3" t="inlineStr">
        <is>
          <t>Score</t>
        </is>
      </c>
      <c r="H4" s="3" t="inlineStr">
        <is>
          <t>Grade</t>
        </is>
      </c>
      <c r="I4" s="3" t="inlineStr">
        <is>
          <t>Score</t>
        </is>
      </c>
      <c r="J4" s="3" t="inlineStr">
        <is>
          <t>Grade</t>
        </is>
      </c>
      <c r="K4" s="3" t="inlineStr">
        <is>
          <t>Score</t>
        </is>
      </c>
      <c r="L4" s="3" t="inlineStr">
        <is>
          <t>Grade</t>
        </is>
      </c>
      <c r="M4" s="3" t="inlineStr">
        <is>
          <t>Score</t>
        </is>
      </c>
      <c r="N4" s="3" t="inlineStr">
        <is>
          <t>Grade</t>
        </is>
      </c>
      <c r="O4" s="3" t="inlineStr">
        <is>
          <t>Score</t>
        </is>
      </c>
      <c r="P4" s="3" t="inlineStr">
        <is>
          <t>Grade</t>
        </is>
      </c>
      <c r="Q4" s="4" t="n"/>
      <c r="R4" s="4" t="n"/>
      <c r="S4" s="4" t="n"/>
      <c r="T4" s="4" t="n"/>
    </row>
    <row r="5">
      <c r="A5" s="5" t="n">
        <v>1</v>
      </c>
      <c r="B5" s="6" t="inlineStr">
        <is>
          <t>Abubakar Fatima</t>
        </is>
      </c>
      <c r="C5" s="5" t="n">
        <v>53</v>
      </c>
      <c r="D5" s="5" t="str">
        <f>IF(C5&gt;=80,"A1",IF(C5&gt;=70,"B2",IF(C5&gt;=66,"B3",IF(C5&gt;=60,"C4",IF(C5&gt;=56,"C5",IF(C5&gt;=50,"C6",IF(C5&gt;=46,"D7",IF(C5&gt;=40,"E8","F9"))))))))</f>
        <v>C6</v>
      </c>
      <c r="E5" s="5" t="n">
        <v>54</v>
      </c>
      <c r="F5" s="5" t="str">
        <f>IF(E5&gt;=80,"A1",IF(E5&gt;=70,"B2",IF(E5&gt;=66,"B3",IF(E5&gt;=60,"C4",IF(E5&gt;=56,"C5",IF(E5&gt;=50,"C6",IF(E5&gt;=46,"D7",IF(E5&gt;=40,"E8","F9"))))))))</f>
        <v>C6</v>
      </c>
      <c r="G5" s="5" t="n">
        <v>50</v>
      </c>
      <c r="H5" s="5" t="str">
        <f>IF(G5&gt;=80,"A1",IF(G5&gt;=70,"B2",IF(G5&gt;=66,"B3",IF(G5&gt;=60,"C4",IF(G5&gt;=56,"C5",IF(G5&gt;=50,"C6",IF(G5&gt;=46,"D7",IF(G5&gt;=40,"E8","F9"))))))))</f>
        <v>C6</v>
      </c>
      <c r="I5" s="5" t="n">
        <v>33</v>
      </c>
      <c r="J5" s="5" t="str">
        <f>IF(I5&gt;=80,"A1",IF(I5&gt;=70,"B2",IF(I5&gt;=66,"B3",IF(I5&gt;=60,"C4",IF(I5&gt;=56,"C5",IF(I5&gt;=50,"C6",IF(I5&gt;=46,"D7",IF(I5&gt;=40,"E8","F9"))))))))</f>
        <v>F9</v>
      </c>
      <c r="K5" s="5" t="n">
        <v>40</v>
      </c>
      <c r="L5" s="5" t="str">
        <f>IF(K5&gt;=80,"A1",IF(K5&gt;=70,"B2",IF(K5&gt;=66,"B3",IF(K5&gt;=60,"C4",IF(K5&gt;=56,"C5",IF(K5&gt;=50,"C6",IF(K5&gt;=46,"D7",IF(K5&gt;=40,"E8","F9"))))))))</f>
        <v>E8</v>
      </c>
      <c r="M5" s="5" t="n">
        <v>45</v>
      </c>
      <c r="N5" s="5" t="str">
        <f>IF(M5&gt;=80,"A1",IF(M5&gt;=70,"B2",IF(M5&gt;=66,"B3",IF(M5&gt;=60,"C4",IF(M5&gt;=56,"C5",IF(M5&gt;=50,"C6",IF(M5&gt;=46,"D7",IF(M5&gt;=40,"E8","F9"))))))))</f>
        <v>E8</v>
      </c>
      <c r="O5" s="5" t="n">
        <v>27</v>
      </c>
      <c r="P5" s="5" t="str">
        <f>IF(O5&gt;=80,"A1",IF(O5&gt;=70,"B2",IF(O5&gt;=66,"B3",IF(O5&gt;=60,"C4",IF(O5&gt;=56,"C5",IF(O5&gt;=50,"C6",IF(O5&gt;=46,"D7",IF(O5&gt;=40,"E8","F9"))))))))</f>
        <v>F9</v>
      </c>
      <c r="Q5" s="7">
        <f>SUM(C5,E5,G5,I5,K5,M5,O5)</f>
        <v>302</v>
      </c>
      <c r="R5" s="8">
        <f>AVERAGE(C5,E5,G5,I5,K5,M5,O5)</f>
        <v>43.1428571428571</v>
      </c>
      <c r="S5" s="7" t="str">
        <f>IF(R5&gt;=80,"A1",IF(R5&gt;=70,"B2",IF(R5&gt;=66,"B3",IF(R5&gt;=60,"C4",IF(R5&gt;=56,"C5",IF(R5&gt;=50,"C6",IF(R5&gt;=46,"D7",IF(R5&gt;=40,"E8","F9"))))))))</f>
        <v>E8</v>
      </c>
      <c r="T5" s="5">
        <f>RANK(Q5,$Q$5:$Q$29)</f>
        <v>23</v>
      </c>
    </row>
    <row r="6">
      <c r="A6" s="5" t="n">
        <v>2</v>
      </c>
      <c r="B6" s="6" t="inlineStr">
        <is>
          <t>Adebayo Tolulope</t>
        </is>
      </c>
      <c r="C6" s="5" t="n">
        <v>76</v>
      </c>
      <c r="D6" s="5" t="str">
        <f>IF(C6&gt;=80,"A1",IF(C6&gt;=70,"B2",IF(C6&gt;=66,"B3",IF(C6&gt;=60,"C4",IF(C6&gt;=56,"C5",IF(C6&gt;=50,"C6",IF(C6&gt;=46,"D7",IF(C6&gt;=40,"E8","F9"))))))))</f>
        <v>B2</v>
      </c>
      <c r="E6" s="5" t="n">
        <v>96</v>
      </c>
      <c r="F6" s="5" t="str">
        <f>IF(E6&gt;=80,"A1",IF(E6&gt;=70,"B2",IF(E6&gt;=66,"B3",IF(E6&gt;=60,"C4",IF(E6&gt;=56,"C5",IF(E6&gt;=50,"C6",IF(E6&gt;=46,"D7",IF(E6&gt;=40,"E8","F9"))))))))</f>
        <v>A1</v>
      </c>
      <c r="G6" s="5" t="n">
        <v>69</v>
      </c>
      <c r="H6" s="5" t="str">
        <f>IF(G6&gt;=80,"A1",IF(G6&gt;=70,"B2",IF(G6&gt;=66,"B3",IF(G6&gt;=60,"C4",IF(G6&gt;=56,"C5",IF(G6&gt;=50,"C6",IF(G6&gt;=46,"D7",IF(G6&gt;=40,"E8","F9"))))))))</f>
        <v>B3</v>
      </c>
      <c r="I6" s="5" t="n">
        <v>62</v>
      </c>
      <c r="J6" s="5" t="str">
        <f>IF(I6&gt;=80,"A1",IF(I6&gt;=70,"B2",IF(I6&gt;=66,"B3",IF(I6&gt;=60,"C4",IF(I6&gt;=56,"C5",IF(I6&gt;=50,"C6",IF(I6&gt;=46,"D7",IF(I6&gt;=40,"E8","F9"))))))))</f>
        <v>C4</v>
      </c>
      <c r="K6" s="5" t="n">
        <v>73</v>
      </c>
      <c r="L6" s="5" t="str">
        <f>IF(K6&gt;=80,"A1",IF(K6&gt;=70,"B2",IF(K6&gt;=66,"B3",IF(K6&gt;=60,"C4",IF(K6&gt;=56,"C5",IF(K6&gt;=50,"C6",IF(K6&gt;=46,"D7",IF(K6&gt;=40,"E8","F9"))))))))</f>
        <v>B2</v>
      </c>
      <c r="M6" s="5" t="n">
        <v>69</v>
      </c>
      <c r="N6" s="5" t="str">
        <f>IF(M6&gt;=80,"A1",IF(M6&gt;=70,"B2",IF(M6&gt;=66,"B3",IF(M6&gt;=60,"C4",IF(M6&gt;=56,"C5",IF(M6&gt;=50,"C6",IF(M6&gt;=46,"D7",IF(M6&gt;=40,"E8","F9"))))))))</f>
        <v>B3</v>
      </c>
      <c r="O6" s="5" t="n">
        <v>70</v>
      </c>
      <c r="P6" s="5" t="str">
        <f>IF(O6&gt;=80,"A1",IF(O6&gt;=70,"B2",IF(O6&gt;=66,"B3",IF(O6&gt;=60,"C4",IF(O6&gt;=56,"C5",IF(O6&gt;=50,"C6",IF(O6&gt;=46,"D7",IF(O6&gt;=40,"E8","F9"))))))))</f>
        <v>B2</v>
      </c>
      <c r="Q6" s="7">
        <f>SUM(C6,E6,G6,I6,K6,M6,O6)</f>
        <v>515</v>
      </c>
      <c r="R6" s="8">
        <f>AVERAGE(C6,E6,G6,I6,K6,M6,O6)</f>
        <v>73.5714285714286</v>
      </c>
      <c r="S6" s="7" t="str">
        <f>IF(R6&gt;=80,"A1",IF(R6&gt;=70,"B2",IF(R6&gt;=66,"B3",IF(R6&gt;=60,"C4",IF(R6&gt;=56,"C5",IF(R6&gt;=50,"C6",IF(R6&gt;=46,"D7",IF(R6&gt;=40,"E8","F9"))))))))</f>
        <v>B2</v>
      </c>
      <c r="T6" s="5">
        <f>RANK(Q6,$Q$5:$Q$29)</f>
        <v>5</v>
      </c>
    </row>
    <row r="7">
      <c r="A7" s="5" t="n">
        <v>3</v>
      </c>
      <c r="B7" s="6" t="inlineStr">
        <is>
          <t>Adesina Precious</t>
        </is>
      </c>
      <c r="C7" s="5" t="n">
        <v>65</v>
      </c>
      <c r="D7" s="5" t="str">
        <f>IF(C7&gt;=80,"A1",IF(C7&gt;=70,"B2",IF(C7&gt;=66,"B3",IF(C7&gt;=60,"C4",IF(C7&gt;=56,"C5",IF(C7&gt;=50,"C6",IF(C7&gt;=46,"D7",IF(C7&gt;=40,"E8","F9"))))))))</f>
        <v>C4</v>
      </c>
      <c r="E7" s="5" t="n">
        <v>73</v>
      </c>
      <c r="F7" s="5" t="str">
        <f>IF(E7&gt;=80,"A1",IF(E7&gt;=70,"B2",IF(E7&gt;=66,"B3",IF(E7&gt;=60,"C4",IF(E7&gt;=56,"C5",IF(E7&gt;=50,"C6",IF(E7&gt;=46,"D7",IF(E7&gt;=40,"E8","F9"))))))))</f>
        <v>B2</v>
      </c>
      <c r="G7" s="5" t="n">
        <v>64</v>
      </c>
      <c r="H7" s="5" t="str">
        <f>IF(G7&gt;=80,"A1",IF(G7&gt;=70,"B2",IF(G7&gt;=66,"B3",IF(G7&gt;=60,"C4",IF(G7&gt;=56,"C5",IF(G7&gt;=50,"C6",IF(G7&gt;=46,"D7",IF(G7&gt;=40,"E8","F9"))))))))</f>
        <v>C4</v>
      </c>
      <c r="I7" s="5" t="n">
        <v>54</v>
      </c>
      <c r="J7" s="5" t="str">
        <f>IF(I7&gt;=80,"A1",IF(I7&gt;=70,"B2",IF(I7&gt;=66,"B3",IF(I7&gt;=60,"C4",IF(I7&gt;=56,"C5",IF(I7&gt;=50,"C6",IF(I7&gt;=46,"D7",IF(I7&gt;=40,"E8","F9"))))))))</f>
        <v>C6</v>
      </c>
      <c r="K7" s="5" t="n">
        <v>42</v>
      </c>
      <c r="L7" s="5" t="str">
        <f>IF(K7&gt;=80,"A1",IF(K7&gt;=70,"B2",IF(K7&gt;=66,"B3",IF(K7&gt;=60,"C4",IF(K7&gt;=56,"C5",IF(K7&gt;=50,"C6",IF(K7&gt;=46,"D7",IF(K7&gt;=40,"E8","F9"))))))))</f>
        <v>E8</v>
      </c>
      <c r="M7" s="5" t="n">
        <v>61</v>
      </c>
      <c r="N7" s="5" t="str">
        <f>IF(M7&gt;=80,"A1",IF(M7&gt;=70,"B2",IF(M7&gt;=66,"B3",IF(M7&gt;=60,"C4",IF(M7&gt;=56,"C5",IF(M7&gt;=50,"C6",IF(M7&gt;=46,"D7",IF(M7&gt;=40,"E8","F9"))))))))</f>
        <v>C4</v>
      </c>
      <c r="O7" s="5" t="n">
        <v>53</v>
      </c>
      <c r="P7" s="5" t="str">
        <f>IF(O7&gt;=80,"A1",IF(O7&gt;=70,"B2",IF(O7&gt;=66,"B3",IF(O7&gt;=60,"C4",IF(O7&gt;=56,"C5",IF(O7&gt;=50,"C6",IF(O7&gt;=46,"D7",IF(O7&gt;=40,"E8","F9"))))))))</f>
        <v>C6</v>
      </c>
      <c r="Q7" s="7">
        <f>SUM(C7,E7,G7,I7,K7,M7,O7)</f>
        <v>412</v>
      </c>
      <c r="R7" s="8">
        <f>AVERAGE(C7,E7,G7,I7,K7,M7,O7)</f>
        <v>58.8571428571429</v>
      </c>
      <c r="S7" s="7" t="str">
        <f>IF(R7&gt;=80,"A1",IF(R7&gt;=70,"B2",IF(R7&gt;=66,"B3",IF(R7&gt;=60,"C4",IF(R7&gt;=56,"C5",IF(R7&gt;=50,"C6",IF(R7&gt;=46,"D7",IF(R7&gt;=40,"E8","F9"))))))))</f>
        <v>C5</v>
      </c>
      <c r="T7" s="5">
        <f>RANK(Q7,$Q$5:$Q$29)</f>
        <v>13</v>
      </c>
    </row>
    <row r="8">
      <c r="A8" s="5" t="n">
        <v>4</v>
      </c>
      <c r="B8" s="6" t="inlineStr">
        <is>
          <t>Adeyemi Funmilayo</t>
        </is>
      </c>
      <c r="C8" s="5" t="n">
        <v>77</v>
      </c>
      <c r="D8" s="5" t="str">
        <f>IF(C8&gt;=80,"A1",IF(C8&gt;=70,"B2",IF(C8&gt;=66,"B3",IF(C8&gt;=60,"C4",IF(C8&gt;=56,"C5",IF(C8&gt;=50,"C6",IF(C8&gt;=46,"D7",IF(C8&gt;=40,"E8","F9"))))))))</f>
        <v>B2</v>
      </c>
      <c r="E8" s="5" t="n">
        <v>86</v>
      </c>
      <c r="F8" s="5" t="str">
        <f>IF(E8&gt;=80,"A1",IF(E8&gt;=70,"B2",IF(E8&gt;=66,"B3",IF(E8&gt;=60,"C4",IF(E8&gt;=56,"C5",IF(E8&gt;=50,"C6",IF(E8&gt;=46,"D7",IF(E8&gt;=40,"E8","F9"))))))))</f>
        <v>A1</v>
      </c>
      <c r="G8" s="5" t="n">
        <v>69</v>
      </c>
      <c r="H8" s="5" t="str">
        <f>IF(G8&gt;=80,"A1",IF(G8&gt;=70,"B2",IF(G8&gt;=66,"B3",IF(G8&gt;=60,"C4",IF(G8&gt;=56,"C5",IF(G8&gt;=50,"C6",IF(G8&gt;=46,"D7",IF(G8&gt;=40,"E8","F9"))))))))</f>
        <v>B3</v>
      </c>
      <c r="I8" s="5" t="n">
        <v>67</v>
      </c>
      <c r="J8" s="5" t="str">
        <f>IF(I8&gt;=80,"A1",IF(I8&gt;=70,"B2",IF(I8&gt;=66,"B3",IF(I8&gt;=60,"C4",IF(I8&gt;=56,"C5",IF(I8&gt;=50,"C6",IF(I8&gt;=46,"D7",IF(I8&gt;=40,"E8","F9"))))))))</f>
        <v>B3</v>
      </c>
      <c r="K8" s="5" t="n">
        <v>69</v>
      </c>
      <c r="L8" s="5" t="str">
        <f>IF(K8&gt;=80,"A1",IF(K8&gt;=70,"B2",IF(K8&gt;=66,"B3",IF(K8&gt;=60,"C4",IF(K8&gt;=56,"C5",IF(K8&gt;=50,"C6",IF(K8&gt;=46,"D7",IF(K8&gt;=40,"E8","F9"))))))))</f>
        <v>B3</v>
      </c>
      <c r="M8" s="5" t="n">
        <v>59</v>
      </c>
      <c r="N8" s="5" t="str">
        <f>IF(M8&gt;=80,"A1",IF(M8&gt;=70,"B2",IF(M8&gt;=66,"B3",IF(M8&gt;=60,"C4",IF(M8&gt;=56,"C5",IF(M8&gt;=50,"C6",IF(M8&gt;=46,"D7",IF(M8&gt;=40,"E8","F9"))))))))</f>
        <v>C5</v>
      </c>
      <c r="O8" s="5" t="n">
        <v>60</v>
      </c>
      <c r="P8" s="5" t="str">
        <f>IF(O8&gt;=80,"A1",IF(O8&gt;=70,"B2",IF(O8&gt;=66,"B3",IF(O8&gt;=60,"C4",IF(O8&gt;=56,"C5",IF(O8&gt;=50,"C6",IF(O8&gt;=46,"D7",IF(O8&gt;=40,"E8","F9"))))))))</f>
        <v>C4</v>
      </c>
      <c r="Q8" s="7">
        <f>SUM(C8,E8,G8,I8,K8,M8,O8)</f>
        <v>487</v>
      </c>
      <c r="R8" s="8">
        <f>AVERAGE(C8,E8,G8,I8,K8,M8,O8)</f>
        <v>69.5714285714286</v>
      </c>
      <c r="S8" s="7" t="str">
        <f>IF(R8&gt;=80,"A1",IF(R8&gt;=70,"B2",IF(R8&gt;=66,"B3",IF(R8&gt;=60,"C4",IF(R8&gt;=56,"C5",IF(R8&gt;=50,"C6",IF(R8&gt;=46,"D7",IF(R8&gt;=40,"E8","F9"))))))))</f>
        <v>B3</v>
      </c>
      <c r="T8" s="5">
        <f>RANK(Q8,$Q$5:$Q$29)</f>
        <v>7</v>
      </c>
    </row>
    <row r="9">
      <c r="A9" s="5" t="n">
        <v>5</v>
      </c>
      <c r="B9" s="6" t="inlineStr">
        <is>
          <t>Afolabi Ruth</t>
        </is>
      </c>
      <c r="C9" s="5" t="n">
        <v>80</v>
      </c>
      <c r="D9" s="5" t="str">
        <f>IF(C9&gt;=80,"A1",IF(C9&gt;=70,"B2",IF(C9&gt;=66,"B3",IF(C9&gt;=60,"C4",IF(C9&gt;=56,"C5",IF(C9&gt;=50,"C6",IF(C9&gt;=46,"D7",IF(C9&gt;=40,"E8","F9"))))))))</f>
        <v>A1</v>
      </c>
      <c r="E9" s="5" t="n">
        <v>62</v>
      </c>
      <c r="F9" s="5" t="str">
        <f>IF(E9&gt;=80,"A1",IF(E9&gt;=70,"B2",IF(E9&gt;=66,"B3",IF(E9&gt;=60,"C4",IF(E9&gt;=56,"C5",IF(E9&gt;=50,"C6",IF(E9&gt;=46,"D7",IF(E9&gt;=40,"E8","F9"))))))))</f>
        <v>C4</v>
      </c>
      <c r="G9" s="5" t="n">
        <v>62</v>
      </c>
      <c r="H9" s="5" t="str">
        <f>IF(G9&gt;=80,"A1",IF(G9&gt;=70,"B2",IF(G9&gt;=66,"B3",IF(G9&gt;=60,"C4",IF(G9&gt;=56,"C5",IF(G9&gt;=50,"C6",IF(G9&gt;=46,"D7",IF(G9&gt;=40,"E8","F9"))))))))</f>
        <v>C4</v>
      </c>
      <c r="I9" s="5" t="n">
        <v>57</v>
      </c>
      <c r="J9" s="5" t="str">
        <f>IF(I9&gt;=80,"A1",IF(I9&gt;=70,"B2",IF(I9&gt;=66,"B3",IF(I9&gt;=60,"C4",IF(I9&gt;=56,"C5",IF(I9&gt;=50,"C6",IF(I9&gt;=46,"D7",IF(I9&gt;=40,"E8","F9"))))))))</f>
        <v>C5</v>
      </c>
      <c r="K9" s="5" t="n">
        <v>48</v>
      </c>
      <c r="L9" s="5" t="str">
        <f>IF(K9&gt;=80,"A1",IF(K9&gt;=70,"B2",IF(K9&gt;=66,"B3",IF(K9&gt;=60,"C4",IF(K9&gt;=56,"C5",IF(K9&gt;=50,"C6",IF(K9&gt;=46,"D7",IF(K9&gt;=40,"E8","F9"))))))))</f>
        <v>D7</v>
      </c>
      <c r="M9" s="5" t="n">
        <v>42</v>
      </c>
      <c r="N9" s="5" t="str">
        <f>IF(M9&gt;=80,"A1",IF(M9&gt;=70,"B2",IF(M9&gt;=66,"B3",IF(M9&gt;=60,"C4",IF(M9&gt;=56,"C5",IF(M9&gt;=50,"C6",IF(M9&gt;=46,"D7",IF(M9&gt;=40,"E8","F9"))))))))</f>
        <v>E8</v>
      </c>
      <c r="O9" s="5" t="n">
        <v>59</v>
      </c>
      <c r="P9" s="5" t="str">
        <f>IF(O9&gt;=80,"A1",IF(O9&gt;=70,"B2",IF(O9&gt;=66,"B3",IF(O9&gt;=60,"C4",IF(O9&gt;=56,"C5",IF(O9&gt;=50,"C6",IF(O9&gt;=46,"D7",IF(O9&gt;=40,"E8","F9"))))))))</f>
        <v>C5</v>
      </c>
      <c r="Q9" s="7">
        <f>SUM(C9,E9,G9,I9,K9,M9,O9)</f>
        <v>410</v>
      </c>
      <c r="R9" s="8">
        <f>AVERAGE(C9,E9,G9,I9,K9,M9,O9)</f>
        <v>58.5714285714286</v>
      </c>
      <c r="S9" s="7" t="str">
        <f>IF(R9&gt;=80,"A1",IF(R9&gt;=70,"B2",IF(R9&gt;=66,"B3",IF(R9&gt;=60,"C4",IF(R9&gt;=56,"C5",IF(R9&gt;=50,"C6",IF(R9&gt;=46,"D7",IF(R9&gt;=40,"E8","F9"))))))))</f>
        <v>C5</v>
      </c>
      <c r="T9" s="5">
        <f>RANK(Q9,$Q$5:$Q$29)</f>
        <v>14</v>
      </c>
    </row>
    <row r="10">
      <c r="A10" s="5" t="n">
        <v>6</v>
      </c>
      <c r="B10" s="6" t="inlineStr">
        <is>
          <t>Akinola Segun</t>
        </is>
      </c>
      <c r="C10" s="5" t="n">
        <v>69</v>
      </c>
      <c r="D10" s="5" t="str">
        <f>IF(C10&gt;=80,"A1",IF(C10&gt;=70,"B2",IF(C10&gt;=66,"B3",IF(C10&gt;=60,"C4",IF(C10&gt;=56,"C5",IF(C10&gt;=50,"C6",IF(C10&gt;=46,"D7",IF(C10&gt;=40,"E8","F9"))))))))</f>
        <v>B3</v>
      </c>
      <c r="E10" s="5" t="n">
        <v>52</v>
      </c>
      <c r="F10" s="5" t="str">
        <f>IF(E10&gt;=80,"A1",IF(E10&gt;=70,"B2",IF(E10&gt;=66,"B3",IF(E10&gt;=60,"C4",IF(E10&gt;=56,"C5",IF(E10&gt;=50,"C6",IF(E10&gt;=46,"D7",IF(E10&gt;=40,"E8","F9"))))))))</f>
        <v>C6</v>
      </c>
      <c r="G10" s="5" t="n">
        <v>53</v>
      </c>
      <c r="H10" s="5" t="str">
        <f>IF(G10&gt;=80,"A1",IF(G10&gt;=70,"B2",IF(G10&gt;=66,"B3",IF(G10&gt;=60,"C4",IF(G10&gt;=56,"C5",IF(G10&gt;=50,"C6",IF(G10&gt;=46,"D7",IF(G10&gt;=40,"E8","F9"))))))))</f>
        <v>C6</v>
      </c>
      <c r="I10" s="5" t="n">
        <v>64</v>
      </c>
      <c r="J10" s="5" t="str">
        <f>IF(I10&gt;=80,"A1",IF(I10&gt;=70,"B2",IF(I10&gt;=66,"B3",IF(I10&gt;=60,"C4",IF(I10&gt;=56,"C5",IF(I10&gt;=50,"C6",IF(I10&gt;=46,"D7",IF(I10&gt;=40,"E8","F9"))))))))</f>
        <v>C4</v>
      </c>
      <c r="K10" s="5" t="n">
        <v>64</v>
      </c>
      <c r="L10" s="5" t="str">
        <f>IF(K10&gt;=80,"A1",IF(K10&gt;=70,"B2",IF(K10&gt;=66,"B3",IF(K10&gt;=60,"C4",IF(K10&gt;=56,"C5",IF(K10&gt;=50,"C6",IF(K10&gt;=46,"D7",IF(K10&gt;=40,"E8","F9"))))))))</f>
        <v>C4</v>
      </c>
      <c r="M10" s="5" t="n">
        <v>45</v>
      </c>
      <c r="N10" s="5" t="str">
        <f>IF(M10&gt;=80,"A1",IF(M10&gt;=70,"B2",IF(M10&gt;=66,"B3",IF(M10&gt;=60,"C4",IF(M10&gt;=56,"C5",IF(M10&gt;=50,"C6",IF(M10&gt;=46,"D7",IF(M10&gt;=40,"E8","F9"))))))))</f>
        <v>E8</v>
      </c>
      <c r="O10" s="5" t="n">
        <v>39</v>
      </c>
      <c r="P10" s="5" t="str">
        <f>IF(O10&gt;=80,"A1",IF(O10&gt;=70,"B2",IF(O10&gt;=66,"B3",IF(O10&gt;=60,"C4",IF(O10&gt;=56,"C5",IF(O10&gt;=50,"C6",IF(O10&gt;=46,"D7",IF(O10&gt;=40,"E8","F9"))))))))</f>
        <v>F9</v>
      </c>
      <c r="Q10" s="7">
        <f>SUM(C10,E10,G10,I10,K10,M10,O10)</f>
        <v>386</v>
      </c>
      <c r="R10" s="8">
        <f>AVERAGE(C10,E10,G10,I10,K10,M10,O10)</f>
        <v>55.1428571428571</v>
      </c>
      <c r="S10" s="7" t="str">
        <f>IF(R10&gt;=80,"A1",IF(R10&gt;=70,"B2",IF(R10&gt;=66,"B3",IF(R10&gt;=60,"C4",IF(R10&gt;=56,"C5",IF(R10&gt;=50,"C6",IF(R10&gt;=46,"D7",IF(R10&gt;=40,"E8","F9"))))))))</f>
        <v>C6</v>
      </c>
      <c r="T10" s="5">
        <f>RANK(Q10,$Q$5:$Q$29)</f>
        <v>18</v>
      </c>
    </row>
    <row r="11">
      <c r="A11" s="5" t="n">
        <v>7</v>
      </c>
      <c r="B11" s="6" t="inlineStr">
        <is>
          <t>Balogun Sodiq</t>
        </is>
      </c>
      <c r="C11" s="5" t="n">
        <v>74</v>
      </c>
      <c r="D11" s="5" t="str">
        <f>IF(C11&gt;=80,"A1",IF(C11&gt;=70,"B2",IF(C11&gt;=66,"B3",IF(C11&gt;=60,"C4",IF(C11&gt;=56,"C5",IF(C11&gt;=50,"C6",IF(C11&gt;=46,"D7",IF(C11&gt;=40,"E8","F9"))))))))</f>
        <v>B2</v>
      </c>
      <c r="E11" s="5" t="n">
        <v>69</v>
      </c>
      <c r="F11" s="5" t="str">
        <f>IF(E11&gt;=80,"A1",IF(E11&gt;=70,"B2",IF(E11&gt;=66,"B3",IF(E11&gt;=60,"C4",IF(E11&gt;=56,"C5",IF(E11&gt;=50,"C6",IF(E11&gt;=46,"D7",IF(E11&gt;=40,"E8","F9"))))))))</f>
        <v>B3</v>
      </c>
      <c r="G11" s="5" t="n">
        <v>64</v>
      </c>
      <c r="H11" s="5" t="str">
        <f>IF(G11&gt;=80,"A1",IF(G11&gt;=70,"B2",IF(G11&gt;=66,"B3",IF(G11&gt;=60,"C4",IF(G11&gt;=56,"C5",IF(G11&gt;=50,"C6",IF(G11&gt;=46,"D7",IF(G11&gt;=40,"E8","F9"))))))))</f>
        <v>C4</v>
      </c>
      <c r="I11" s="5" t="n">
        <v>48</v>
      </c>
      <c r="J11" s="5" t="str">
        <f>IF(I11&gt;=80,"A1",IF(I11&gt;=70,"B2",IF(I11&gt;=66,"B3",IF(I11&gt;=60,"C4",IF(I11&gt;=56,"C5",IF(I11&gt;=50,"C6",IF(I11&gt;=46,"D7",IF(I11&gt;=40,"E8","F9"))))))))</f>
        <v>D7</v>
      </c>
      <c r="K11" s="5" t="n">
        <v>60</v>
      </c>
      <c r="L11" s="5" t="str">
        <f>IF(K11&gt;=80,"A1",IF(K11&gt;=70,"B2",IF(K11&gt;=66,"B3",IF(K11&gt;=60,"C4",IF(K11&gt;=56,"C5",IF(K11&gt;=50,"C6",IF(K11&gt;=46,"D7",IF(K11&gt;=40,"E8","F9"))))))))</f>
        <v>C4</v>
      </c>
      <c r="M11" s="5" t="n">
        <v>71</v>
      </c>
      <c r="N11" s="5" t="str">
        <f>IF(M11&gt;=80,"A1",IF(M11&gt;=70,"B2",IF(M11&gt;=66,"B3",IF(M11&gt;=60,"C4",IF(M11&gt;=56,"C5",IF(M11&gt;=50,"C6",IF(M11&gt;=46,"D7",IF(M11&gt;=40,"E8","F9"))))))))</f>
        <v>B2</v>
      </c>
      <c r="O11" s="5" t="n">
        <v>51</v>
      </c>
      <c r="P11" s="5" t="str">
        <f>IF(O11&gt;=80,"A1",IF(O11&gt;=70,"B2",IF(O11&gt;=66,"B3",IF(O11&gt;=60,"C4",IF(O11&gt;=56,"C5",IF(O11&gt;=50,"C6",IF(O11&gt;=46,"D7",IF(O11&gt;=40,"E8","F9"))))))))</f>
        <v>C6</v>
      </c>
      <c r="Q11" s="7">
        <f>SUM(C11,E11,G11,I11,K11,M11,O11)</f>
        <v>437</v>
      </c>
      <c r="R11" s="8">
        <f>AVERAGE(C11,E11,G11,I11,K11,M11,O11)</f>
        <v>62.4285714285714</v>
      </c>
      <c r="S11" s="7" t="str">
        <f>IF(R11&gt;=80,"A1",IF(R11&gt;=70,"B2",IF(R11&gt;=66,"B3",IF(R11&gt;=60,"C4",IF(R11&gt;=56,"C5",IF(R11&gt;=50,"C6",IF(R11&gt;=46,"D7",IF(R11&gt;=40,"E8","F9"))))))))</f>
        <v>C4</v>
      </c>
      <c r="T11" s="5">
        <f>RANK(Q11,$Q$5:$Q$29)</f>
        <v>11</v>
      </c>
    </row>
    <row r="12">
      <c r="A12" s="5" t="n">
        <v>8</v>
      </c>
      <c r="B12" s="6" t="inlineStr">
        <is>
          <t>Bello Musa</t>
        </is>
      </c>
      <c r="C12" s="5" t="n">
        <v>45</v>
      </c>
      <c r="D12" s="5" t="str">
        <f>IF(C12&gt;=80,"A1",IF(C12&gt;=70,"B2",IF(C12&gt;=66,"B3",IF(C12&gt;=60,"C4",IF(C12&gt;=56,"C5",IF(C12&gt;=50,"C6",IF(C12&gt;=46,"D7",IF(C12&gt;=40,"E8","F9"))))))))</f>
        <v>E8</v>
      </c>
      <c r="E12" s="5" t="n">
        <v>59</v>
      </c>
      <c r="F12" s="5" t="str">
        <f>IF(E12&gt;=80,"A1",IF(E12&gt;=70,"B2",IF(E12&gt;=66,"B3",IF(E12&gt;=60,"C4",IF(E12&gt;=56,"C5",IF(E12&gt;=50,"C6",IF(E12&gt;=46,"D7",IF(E12&gt;=40,"E8","F9"))))))))</f>
        <v>C5</v>
      </c>
      <c r="G12" s="5" t="n">
        <v>30</v>
      </c>
      <c r="H12" s="5" t="str">
        <f>IF(G12&gt;=80,"A1",IF(G12&gt;=70,"B2",IF(G12&gt;=66,"B3",IF(G12&gt;=60,"C4",IF(G12&gt;=56,"C5",IF(G12&gt;=50,"C6",IF(G12&gt;=46,"D7",IF(G12&gt;=40,"E8","F9"))))))))</f>
        <v>F9</v>
      </c>
      <c r="I12" s="5" t="n">
        <v>41</v>
      </c>
      <c r="J12" s="5" t="str">
        <f>IF(I12&gt;=80,"A1",IF(I12&gt;=70,"B2",IF(I12&gt;=66,"B3",IF(I12&gt;=60,"C4",IF(I12&gt;=56,"C5",IF(I12&gt;=50,"C6",IF(I12&gt;=46,"D7",IF(I12&gt;=40,"E8","F9"))))))))</f>
        <v>E8</v>
      </c>
      <c r="K12" s="5" t="n">
        <v>31</v>
      </c>
      <c r="L12" s="5" t="str">
        <f>IF(K12&gt;=80,"A1",IF(K12&gt;=70,"B2",IF(K12&gt;=66,"B3",IF(K12&gt;=60,"C4",IF(K12&gt;=56,"C5",IF(K12&gt;=50,"C6",IF(K12&gt;=46,"D7",IF(K12&gt;=40,"E8","F9"))))))))</f>
        <v>F9</v>
      </c>
      <c r="M12" s="5" t="n">
        <v>44</v>
      </c>
      <c r="N12" s="5" t="str">
        <f>IF(M12&gt;=80,"A1",IF(M12&gt;=70,"B2",IF(M12&gt;=66,"B3",IF(M12&gt;=60,"C4",IF(M12&gt;=56,"C5",IF(M12&gt;=50,"C6",IF(M12&gt;=46,"D7",IF(M12&gt;=40,"E8","F9"))))))))</f>
        <v>E8</v>
      </c>
      <c r="O12" s="5" t="n">
        <v>38</v>
      </c>
      <c r="P12" s="5" t="str">
        <f>IF(O12&gt;=80,"A1",IF(O12&gt;=70,"B2",IF(O12&gt;=66,"B3",IF(O12&gt;=60,"C4",IF(O12&gt;=56,"C5",IF(O12&gt;=50,"C6",IF(O12&gt;=46,"D7",IF(O12&gt;=40,"E8","F9"))))))))</f>
        <v>F9</v>
      </c>
      <c r="Q12" s="7">
        <f>SUM(C12,E12,G12,I12,K12,M12,O12)</f>
        <v>288</v>
      </c>
      <c r="R12" s="8">
        <f>AVERAGE(C12,E12,G12,I12,K12,M12,O12)</f>
        <v>41.1428571428571</v>
      </c>
      <c r="S12" s="7" t="str">
        <f>IF(R12&gt;=80,"A1",IF(R12&gt;=70,"B2",IF(R12&gt;=66,"B3",IF(R12&gt;=60,"C4",IF(R12&gt;=56,"C5",IF(R12&gt;=50,"C6",IF(R12&gt;=46,"D7",IF(R12&gt;=40,"E8","F9"))))))))</f>
        <v>E8</v>
      </c>
      <c r="T12" s="5">
        <f>RANK(Q12,$Q$5:$Q$29)</f>
        <v>24</v>
      </c>
    </row>
    <row r="13">
      <c r="A13" s="5" t="n">
        <v>9</v>
      </c>
      <c r="B13" s="6" t="inlineStr">
        <is>
          <t>Danjuma Grace</t>
        </is>
      </c>
      <c r="C13" s="5" t="n">
        <v>81</v>
      </c>
      <c r="D13" s="5" t="str">
        <f>IF(C13&gt;=80,"A1",IF(C13&gt;=70,"B2",IF(C13&gt;=66,"B3",IF(C13&gt;=60,"C4",IF(C13&gt;=56,"C5",IF(C13&gt;=50,"C6",IF(C13&gt;=46,"D7",IF(C13&gt;=40,"E8","F9"))))))))</f>
        <v>A1</v>
      </c>
      <c r="E13" s="5" t="n">
        <v>72</v>
      </c>
      <c r="F13" s="5" t="str">
        <f>IF(E13&gt;=80,"A1",IF(E13&gt;=70,"B2",IF(E13&gt;=66,"B3",IF(E13&gt;=60,"C4",IF(E13&gt;=56,"C5",IF(E13&gt;=50,"C6",IF(E13&gt;=46,"D7",IF(E13&gt;=40,"E8","F9"))))))))</f>
        <v>B2</v>
      </c>
      <c r="G13" s="5" t="n">
        <v>74</v>
      </c>
      <c r="H13" s="5" t="str">
        <f>IF(G13&gt;=80,"A1",IF(G13&gt;=70,"B2",IF(G13&gt;=66,"B3",IF(G13&gt;=60,"C4",IF(G13&gt;=56,"C5",IF(G13&gt;=50,"C6",IF(G13&gt;=46,"D7",IF(G13&gt;=40,"E8","F9"))))))))</f>
        <v>B2</v>
      </c>
      <c r="I13" s="5" t="n">
        <v>56</v>
      </c>
      <c r="J13" s="5" t="str">
        <f>IF(I13&gt;=80,"A1",IF(I13&gt;=70,"B2",IF(I13&gt;=66,"B3",IF(I13&gt;=60,"C4",IF(I13&gt;=56,"C5",IF(I13&gt;=50,"C6",IF(I13&gt;=46,"D7",IF(I13&gt;=40,"E8","F9"))))))))</f>
        <v>C5</v>
      </c>
      <c r="K13" s="5" t="n">
        <v>51</v>
      </c>
      <c r="L13" s="5" t="str">
        <f>IF(K13&gt;=80,"A1",IF(K13&gt;=70,"B2",IF(K13&gt;=66,"B3",IF(K13&gt;=60,"C4",IF(K13&gt;=56,"C5",IF(K13&gt;=50,"C6",IF(K13&gt;=46,"D7",IF(K13&gt;=40,"E8","F9"))))))))</f>
        <v>C6</v>
      </c>
      <c r="M13" s="5" t="n">
        <v>65</v>
      </c>
      <c r="N13" s="5" t="str">
        <f>IF(M13&gt;=80,"A1",IF(M13&gt;=70,"B2",IF(M13&gt;=66,"B3",IF(M13&gt;=60,"C4",IF(M13&gt;=56,"C5",IF(M13&gt;=50,"C6",IF(M13&gt;=46,"D7",IF(M13&gt;=40,"E8","F9"))))))))</f>
        <v>C4</v>
      </c>
      <c r="O13" s="5" t="n">
        <v>31</v>
      </c>
      <c r="P13" s="5" t="str">
        <f>IF(O13&gt;=80,"A1",IF(O13&gt;=70,"B2",IF(O13&gt;=66,"B3",IF(O13&gt;=60,"C4",IF(O13&gt;=56,"C5",IF(O13&gt;=50,"C6",IF(O13&gt;=46,"D7",IF(O13&gt;=40,"E8","F9"))))))))</f>
        <v>F9</v>
      </c>
      <c r="Q13" s="7">
        <f>SUM(C13,E13,G13,I13,K13,M13,O13)</f>
        <v>430</v>
      </c>
      <c r="R13" s="8">
        <f>AVERAGE(C13,E13,G13,I13,K13,M13,O13)</f>
        <v>61.4285714285714</v>
      </c>
      <c r="S13" s="7" t="str">
        <f>IF(R13&gt;=80,"A1",IF(R13&gt;=70,"B2",IF(R13&gt;=66,"B3",IF(R13&gt;=60,"C4",IF(R13&gt;=56,"C5",IF(R13&gt;=50,"C6",IF(R13&gt;=46,"D7",IF(R13&gt;=40,"E8","F9"))))))))</f>
        <v>C4</v>
      </c>
      <c r="T13" s="5">
        <f>RANK(Q13,$Q$5:$Q$29)</f>
        <v>12</v>
      </c>
    </row>
    <row r="14">
      <c r="A14" s="5" t="n">
        <v>10</v>
      </c>
      <c r="B14" s="6" t="inlineStr">
        <is>
          <t>Ekong Ime</t>
        </is>
      </c>
      <c r="C14" s="5" t="n">
        <v>68</v>
      </c>
      <c r="D14" s="5" t="str">
        <f>IF(C14&gt;=80,"A1",IF(C14&gt;=70,"B2",IF(C14&gt;=66,"B3",IF(C14&gt;=60,"C4",IF(C14&gt;=56,"C5",IF(C14&gt;=50,"C6",IF(C14&gt;=46,"D7",IF(C14&gt;=40,"E8","F9"))))))))</f>
        <v>B3</v>
      </c>
      <c r="E14" s="5" t="n">
        <v>57</v>
      </c>
      <c r="F14" s="5" t="str">
        <f>IF(E14&gt;=80,"A1",IF(E14&gt;=70,"B2",IF(E14&gt;=66,"B3",IF(E14&gt;=60,"C4",IF(E14&gt;=56,"C5",IF(E14&gt;=50,"C6",IF(E14&gt;=46,"D7",IF(E14&gt;=40,"E8","F9"))))))))</f>
        <v>C5</v>
      </c>
      <c r="G14" s="5" t="n">
        <v>65</v>
      </c>
      <c r="H14" s="5" t="str">
        <f>IF(G14&gt;=80,"A1",IF(G14&gt;=70,"B2",IF(G14&gt;=66,"B3",IF(G14&gt;=60,"C4",IF(G14&gt;=56,"C5",IF(G14&gt;=50,"C6",IF(G14&gt;=46,"D7",IF(G14&gt;=40,"E8","F9"))))))))</f>
        <v>C4</v>
      </c>
      <c r="I14" s="5" t="n">
        <v>52</v>
      </c>
      <c r="J14" s="5" t="str">
        <f>IF(I14&gt;=80,"A1",IF(I14&gt;=70,"B2",IF(I14&gt;=66,"B3",IF(I14&gt;=60,"C4",IF(I14&gt;=56,"C5",IF(I14&gt;=50,"C6",IF(I14&gt;=46,"D7",IF(I14&gt;=40,"E8","F9"))))))))</f>
        <v>C6</v>
      </c>
      <c r="K14" s="5" t="n">
        <v>33</v>
      </c>
      <c r="L14" s="5" t="str">
        <f>IF(K14&gt;=80,"A1",IF(K14&gt;=70,"B2",IF(K14&gt;=66,"B3",IF(K14&gt;=60,"C4",IF(K14&gt;=56,"C5",IF(K14&gt;=50,"C6",IF(K14&gt;=46,"D7",IF(K14&gt;=40,"E8","F9"))))))))</f>
        <v>F9</v>
      </c>
      <c r="M14" s="5" t="n">
        <v>59</v>
      </c>
      <c r="N14" s="5" t="str">
        <f>IF(M14&gt;=80,"A1",IF(M14&gt;=70,"B2",IF(M14&gt;=66,"B3",IF(M14&gt;=60,"C4",IF(M14&gt;=56,"C5",IF(M14&gt;=50,"C6",IF(M14&gt;=46,"D7",IF(M14&gt;=40,"E8","F9"))))))))</f>
        <v>C5</v>
      </c>
      <c r="O14" s="5" t="n">
        <v>47</v>
      </c>
      <c r="P14" s="5" t="str">
        <f>IF(O14&gt;=80,"A1",IF(O14&gt;=70,"B2",IF(O14&gt;=66,"B3",IF(O14&gt;=60,"C4",IF(O14&gt;=56,"C5",IF(O14&gt;=50,"C6",IF(O14&gt;=46,"D7",IF(O14&gt;=40,"E8","F9"))))))))</f>
        <v>D7</v>
      </c>
      <c r="Q14" s="7">
        <f>SUM(C14,E14,G14,I14,K14,M14,O14)</f>
        <v>381</v>
      </c>
      <c r="R14" s="8">
        <f>AVERAGE(C14,E14,G14,I14,K14,M14,O14)</f>
        <v>54.4285714285714</v>
      </c>
      <c r="S14" s="7" t="str">
        <f>IF(R14&gt;=80,"A1",IF(R14&gt;=70,"B2",IF(R14&gt;=66,"B3",IF(R14&gt;=60,"C4",IF(R14&gt;=56,"C5",IF(R14&gt;=50,"C6",IF(R14&gt;=46,"D7",IF(R14&gt;=40,"E8","F9"))))))))</f>
        <v>C6</v>
      </c>
      <c r="T14" s="5">
        <f>RANK(Q14,$Q$5:$Q$29)</f>
        <v>19</v>
      </c>
    </row>
    <row r="15">
      <c r="A15" s="5" t="n">
        <v>11</v>
      </c>
      <c r="B15" s="6" t="inlineStr">
        <is>
          <t>Etim Victoria</t>
        </is>
      </c>
      <c r="C15" s="5" t="n">
        <v>60</v>
      </c>
      <c r="D15" s="5" t="str">
        <f>IF(C15&gt;=80,"A1",IF(C15&gt;=70,"B2",IF(C15&gt;=66,"B3",IF(C15&gt;=60,"C4",IF(C15&gt;=56,"C5",IF(C15&gt;=50,"C6",IF(C15&gt;=46,"D7",IF(C15&gt;=40,"E8","F9"))))))))</f>
        <v>C4</v>
      </c>
      <c r="E15" s="5" t="n">
        <v>74</v>
      </c>
      <c r="F15" s="5" t="str">
        <f>IF(E15&gt;=80,"A1",IF(E15&gt;=70,"B2",IF(E15&gt;=66,"B3",IF(E15&gt;=60,"C4",IF(E15&gt;=56,"C5",IF(E15&gt;=50,"C6",IF(E15&gt;=46,"D7",IF(E15&gt;=40,"E8","F9"))))))))</f>
        <v>B2</v>
      </c>
      <c r="G15" s="5" t="n">
        <v>57</v>
      </c>
      <c r="H15" s="5" t="str">
        <f>IF(G15&gt;=80,"A1",IF(G15&gt;=70,"B2",IF(G15&gt;=66,"B3",IF(G15&gt;=60,"C4",IF(G15&gt;=56,"C5",IF(G15&gt;=50,"C6",IF(G15&gt;=46,"D7",IF(G15&gt;=40,"E8","F9"))))))))</f>
        <v>C5</v>
      </c>
      <c r="I15" s="5" t="n">
        <v>51</v>
      </c>
      <c r="J15" s="5" t="str">
        <f>IF(I15&gt;=80,"A1",IF(I15&gt;=70,"B2",IF(I15&gt;=66,"B3",IF(I15&gt;=60,"C4",IF(I15&gt;=56,"C5",IF(I15&gt;=50,"C6",IF(I15&gt;=46,"D7",IF(I15&gt;=40,"E8","F9"))))))))</f>
        <v>C6</v>
      </c>
      <c r="K15" s="5" t="n">
        <v>53</v>
      </c>
      <c r="L15" s="5" t="str">
        <f>IF(K15&gt;=80,"A1",IF(K15&gt;=70,"B2",IF(K15&gt;=66,"B3",IF(K15&gt;=60,"C4",IF(K15&gt;=56,"C5",IF(K15&gt;=50,"C6",IF(K15&gt;=46,"D7",IF(K15&gt;=40,"E8","F9"))))))))</f>
        <v>C6</v>
      </c>
      <c r="M15" s="5" t="n">
        <v>39</v>
      </c>
      <c r="N15" s="5" t="str">
        <f>IF(M15&gt;=80,"A1",IF(M15&gt;=70,"B2",IF(M15&gt;=66,"B3",IF(M15&gt;=60,"C4",IF(M15&gt;=56,"C5",IF(M15&gt;=50,"C6",IF(M15&gt;=46,"D7",IF(M15&gt;=40,"E8","F9"))))))))</f>
        <v>F9</v>
      </c>
      <c r="O15" s="5" t="n">
        <v>61</v>
      </c>
      <c r="P15" s="5" t="str">
        <f>IF(O15&gt;=80,"A1",IF(O15&gt;=70,"B2",IF(O15&gt;=66,"B3",IF(O15&gt;=60,"C4",IF(O15&gt;=56,"C5",IF(O15&gt;=50,"C6",IF(O15&gt;=46,"D7",IF(O15&gt;=40,"E8","F9"))))))))</f>
        <v>C4</v>
      </c>
      <c r="Q15" s="7">
        <f>SUM(C15,E15,G15,I15,K15,M15,O15)</f>
        <v>395</v>
      </c>
      <c r="R15" s="8">
        <f>AVERAGE(C15,E15,G15,I15,K15,M15,O15)</f>
        <v>56.4285714285714</v>
      </c>
      <c r="S15" s="7" t="str">
        <f>IF(R15&gt;=80,"A1",IF(R15&gt;=70,"B2",IF(R15&gt;=66,"B3",IF(R15&gt;=60,"C4",IF(R15&gt;=56,"C5",IF(R15&gt;=50,"C6",IF(R15&gt;=46,"D7",IF(R15&gt;=40,"E8","F9"))))))))</f>
        <v>C5</v>
      </c>
      <c r="T15" s="5">
        <f>RANK(Q15,$Q$5:$Q$29)</f>
        <v>17</v>
      </c>
    </row>
    <row r="16">
      <c r="A16" s="5" t="n">
        <v>12</v>
      </c>
      <c r="B16" s="6" t="inlineStr">
        <is>
          <t>Eze Ngozi</t>
        </is>
      </c>
      <c r="C16" s="5" t="n">
        <v>60</v>
      </c>
      <c r="D16" s="5" t="str">
        <f>IF(C16&gt;=80,"A1",IF(C16&gt;=70,"B2",IF(C16&gt;=66,"B3",IF(C16&gt;=60,"C4",IF(C16&gt;=56,"C5",IF(C16&gt;=50,"C6",IF(C16&gt;=46,"D7",IF(C16&gt;=40,"E8","F9"))))))))</f>
        <v>C4</v>
      </c>
      <c r="E16" s="5" t="n">
        <v>46</v>
      </c>
      <c r="F16" s="5" t="str">
        <f>IF(E16&gt;=80,"A1",IF(E16&gt;=70,"B2",IF(E16&gt;=66,"B3",IF(E16&gt;=60,"C4",IF(E16&gt;=56,"C5",IF(E16&gt;=50,"C6",IF(E16&gt;=46,"D7",IF(E16&gt;=40,"E8","F9"))))))))</f>
        <v>D7</v>
      </c>
      <c r="G16" s="5" t="n">
        <v>41</v>
      </c>
      <c r="H16" s="5" t="str">
        <f>IF(G16&gt;=80,"A1",IF(G16&gt;=70,"B2",IF(G16&gt;=66,"B3",IF(G16&gt;=60,"C4",IF(G16&gt;=56,"C5",IF(G16&gt;=50,"C6",IF(G16&gt;=46,"D7",IF(G16&gt;=40,"E8","F9"))))))))</f>
        <v>E8</v>
      </c>
      <c r="I16" s="5" t="n">
        <v>42</v>
      </c>
      <c r="J16" s="5" t="str">
        <f>IF(I16&gt;=80,"A1",IF(I16&gt;=70,"B2",IF(I16&gt;=66,"B3",IF(I16&gt;=60,"C4",IF(I16&gt;=56,"C5",IF(I16&gt;=50,"C6",IF(I16&gt;=46,"D7",IF(I16&gt;=40,"E8","F9"))))))))</f>
        <v>E8</v>
      </c>
      <c r="K16" s="5" t="n">
        <v>61</v>
      </c>
      <c r="L16" s="5" t="str">
        <f>IF(K16&gt;=80,"A1",IF(K16&gt;=70,"B2",IF(K16&gt;=66,"B3",IF(K16&gt;=60,"C4",IF(K16&gt;=56,"C5",IF(K16&gt;=50,"C6",IF(K16&gt;=46,"D7",IF(K16&gt;=40,"E8","F9"))))))))</f>
        <v>C4</v>
      </c>
      <c r="M16" s="5" t="n">
        <v>56</v>
      </c>
      <c r="N16" s="5" t="str">
        <f>IF(M16&gt;=80,"A1",IF(M16&gt;=70,"B2",IF(M16&gt;=66,"B3",IF(M16&gt;=60,"C4",IF(M16&gt;=56,"C5",IF(M16&gt;=50,"C6",IF(M16&gt;=46,"D7",IF(M16&gt;=40,"E8","F9"))))))))</f>
        <v>C5</v>
      </c>
      <c r="O16" s="5" t="n">
        <v>39</v>
      </c>
      <c r="P16" s="5" t="str">
        <f>IF(O16&gt;=80,"A1",IF(O16&gt;=70,"B2",IF(O16&gt;=66,"B3",IF(O16&gt;=60,"C4",IF(O16&gt;=56,"C5",IF(O16&gt;=50,"C6",IF(O16&gt;=46,"D7",IF(O16&gt;=40,"E8","F9"))))))))</f>
        <v>F9</v>
      </c>
      <c r="Q16" s="7">
        <f>SUM(C16,E16,G16,I16,K16,M16,O16)</f>
        <v>345</v>
      </c>
      <c r="R16" s="8">
        <f>AVERAGE(C16,E16,G16,I16,K16,M16,O16)</f>
        <v>49.2857142857143</v>
      </c>
      <c r="S16" s="7" t="str">
        <f>IF(R16&gt;=80,"A1",IF(R16&gt;=70,"B2",IF(R16&gt;=66,"B3",IF(R16&gt;=60,"C4",IF(R16&gt;=56,"C5",IF(R16&gt;=50,"C6",IF(R16&gt;=46,"D7",IF(R16&gt;=40,"E8","F9"))))))))</f>
        <v>D7</v>
      </c>
      <c r="T16" s="5">
        <f>RANK(Q16,$Q$5:$Q$29)</f>
        <v>21</v>
      </c>
    </row>
    <row r="17">
      <c r="A17" s="5" t="n">
        <v>13</v>
      </c>
      <c r="B17" s="6" t="inlineStr">
        <is>
          <t>Ibrahim Aisha</t>
        </is>
      </c>
      <c r="C17" s="5" t="n">
        <v>54</v>
      </c>
      <c r="D17" s="5" t="str">
        <f>IF(C17&gt;=80,"A1",IF(C17&gt;=70,"B2",IF(C17&gt;=66,"B3",IF(C17&gt;=60,"C4",IF(C17&gt;=56,"C5",IF(C17&gt;=50,"C6",IF(C17&gt;=46,"D7",IF(C17&gt;=40,"E8","F9"))))))))</f>
        <v>C6</v>
      </c>
      <c r="E17" s="5" t="n">
        <v>65</v>
      </c>
      <c r="F17" s="5" t="str">
        <f>IF(E17&gt;=80,"A1",IF(E17&gt;=70,"B2",IF(E17&gt;=66,"B3",IF(E17&gt;=60,"C4",IF(E17&gt;=56,"C5",IF(E17&gt;=50,"C6",IF(E17&gt;=46,"D7",IF(E17&gt;=40,"E8","F9"))))))))</f>
        <v>C4</v>
      </c>
      <c r="G17" s="5" t="n">
        <v>53</v>
      </c>
      <c r="H17" s="5" t="str">
        <f>IF(G17&gt;=80,"A1",IF(G17&gt;=70,"B2",IF(G17&gt;=66,"B3",IF(G17&gt;=60,"C4",IF(G17&gt;=56,"C5",IF(G17&gt;=50,"C6",IF(G17&gt;=46,"D7",IF(G17&gt;=40,"E8","F9"))))))))</f>
        <v>C6</v>
      </c>
      <c r="I17" s="5" t="n">
        <v>61</v>
      </c>
      <c r="J17" s="5" t="str">
        <f>IF(I17&gt;=80,"A1",IF(I17&gt;=70,"B2",IF(I17&gt;=66,"B3",IF(I17&gt;=60,"C4",IF(I17&gt;=56,"C5",IF(I17&gt;=50,"C6",IF(I17&gt;=46,"D7",IF(I17&gt;=40,"E8","F9"))))))))</f>
        <v>C4</v>
      </c>
      <c r="K17" s="5" t="n">
        <v>40</v>
      </c>
      <c r="L17" s="5" t="str">
        <f>IF(K17&gt;=80,"A1",IF(K17&gt;=70,"B2",IF(K17&gt;=66,"B3",IF(K17&gt;=60,"C4",IF(K17&gt;=56,"C5",IF(K17&gt;=50,"C6",IF(K17&gt;=46,"D7",IF(K17&gt;=40,"E8","F9"))))))))</f>
        <v>E8</v>
      </c>
      <c r="M17" s="5" t="n">
        <v>55</v>
      </c>
      <c r="N17" s="5" t="str">
        <f>IF(M17&gt;=80,"A1",IF(M17&gt;=70,"B2",IF(M17&gt;=66,"B3",IF(M17&gt;=60,"C4",IF(M17&gt;=56,"C5",IF(M17&gt;=50,"C6",IF(M17&gt;=46,"D7",IF(M17&gt;=40,"E8","F9"))))))))</f>
        <v>C6</v>
      </c>
      <c r="O17" s="5" t="n">
        <v>45</v>
      </c>
      <c r="P17" s="5" t="str">
        <f>IF(O17&gt;=80,"A1",IF(O17&gt;=70,"B2",IF(O17&gt;=66,"B3",IF(O17&gt;=60,"C4",IF(O17&gt;=56,"C5",IF(O17&gt;=50,"C6",IF(O17&gt;=46,"D7",IF(O17&gt;=40,"E8","F9"))))))))</f>
        <v>E8</v>
      </c>
      <c r="Q17" s="7">
        <f>SUM(C17,E17,G17,I17,K17,M17,O17)</f>
        <v>373</v>
      </c>
      <c r="R17" s="8">
        <f>AVERAGE(C17,E17,G17,I17,K17,M17,O17)</f>
        <v>53.2857142857143</v>
      </c>
      <c r="S17" s="7" t="str">
        <f>IF(R17&gt;=80,"A1",IF(R17&gt;=70,"B2",IF(R17&gt;=66,"B3",IF(R17&gt;=60,"C4",IF(R17&gt;=56,"C5",IF(R17&gt;=50,"C6",IF(R17&gt;=46,"D7",IF(R17&gt;=40,"E8","F9"))))))))</f>
        <v>C6</v>
      </c>
      <c r="T17" s="5">
        <f>RANK(Q17,$Q$5:$Q$29)</f>
        <v>20</v>
      </c>
    </row>
    <row r="18">
      <c r="A18" s="5" t="n">
        <v>14</v>
      </c>
      <c r="B18" s="6" t="inlineStr">
        <is>
          <t>Lawal Zainab</t>
        </is>
      </c>
      <c r="C18" s="5" t="n">
        <v>66</v>
      </c>
      <c r="D18" s="5" t="str">
        <f>IF(C18&gt;=80,"A1",IF(C18&gt;=70,"B2",IF(C18&gt;=66,"B3",IF(C18&gt;=60,"C4",IF(C18&gt;=56,"C5",IF(C18&gt;=50,"C6",IF(C18&gt;=46,"D7",IF(C18&gt;=40,"E8","F9"))))))))</f>
        <v>B3</v>
      </c>
      <c r="E18" s="5" t="n">
        <v>61</v>
      </c>
      <c r="F18" s="5" t="str">
        <f>IF(E18&gt;=80,"A1",IF(E18&gt;=70,"B2",IF(E18&gt;=66,"B3",IF(E18&gt;=60,"C4",IF(E18&gt;=56,"C5",IF(E18&gt;=50,"C6",IF(E18&gt;=46,"D7",IF(E18&gt;=40,"E8","F9"))))))))</f>
        <v>C4</v>
      </c>
      <c r="G18" s="5" t="n">
        <v>59</v>
      </c>
      <c r="H18" s="5" t="str">
        <f>IF(G18&gt;=80,"A1",IF(G18&gt;=70,"B2",IF(G18&gt;=66,"B3",IF(G18&gt;=60,"C4",IF(G18&gt;=56,"C5",IF(G18&gt;=50,"C6",IF(G18&gt;=46,"D7",IF(G18&gt;=40,"E8","F9"))))))))</f>
        <v>C5</v>
      </c>
      <c r="I18" s="5" t="n">
        <v>60</v>
      </c>
      <c r="J18" s="5" t="str">
        <f>IF(I18&gt;=80,"A1",IF(I18&gt;=70,"B2",IF(I18&gt;=66,"B3",IF(I18&gt;=60,"C4",IF(I18&gt;=56,"C5",IF(I18&gt;=50,"C6",IF(I18&gt;=46,"D7",IF(I18&gt;=40,"E8","F9"))))))))</f>
        <v>C4</v>
      </c>
      <c r="K18" s="5" t="n">
        <v>58</v>
      </c>
      <c r="L18" s="5" t="str">
        <f>IF(K18&gt;=80,"A1",IF(K18&gt;=70,"B2",IF(K18&gt;=66,"B3",IF(K18&gt;=60,"C4",IF(K18&gt;=56,"C5",IF(K18&gt;=50,"C6",IF(K18&gt;=46,"D7",IF(K18&gt;=40,"E8","F9"))))))))</f>
        <v>C5</v>
      </c>
      <c r="M18" s="5" t="n">
        <v>41</v>
      </c>
      <c r="N18" s="5" t="str">
        <f>IF(M18&gt;=80,"A1",IF(M18&gt;=70,"B2",IF(M18&gt;=66,"B3",IF(M18&gt;=60,"C4",IF(M18&gt;=56,"C5",IF(M18&gt;=50,"C6",IF(M18&gt;=46,"D7",IF(M18&gt;=40,"E8","F9"))))))))</f>
        <v>E8</v>
      </c>
      <c r="O18" s="5" t="n">
        <v>53</v>
      </c>
      <c r="P18" s="5" t="str">
        <f>IF(O18&gt;=80,"A1",IF(O18&gt;=70,"B2",IF(O18&gt;=66,"B3",IF(O18&gt;=60,"C4",IF(O18&gt;=56,"C5",IF(O18&gt;=50,"C6",IF(O18&gt;=46,"D7",IF(O18&gt;=40,"E8","F9"))))))))</f>
        <v>C6</v>
      </c>
      <c r="Q18" s="7">
        <f>SUM(C18,E18,G18,I18,K18,M18,O18)</f>
        <v>398</v>
      </c>
      <c r="R18" s="8">
        <f>AVERAGE(C18,E18,G18,I18,K18,M18,O18)</f>
        <v>56.8571428571429</v>
      </c>
      <c r="S18" s="7" t="str">
        <f>IF(R18&gt;=80,"A1",IF(R18&gt;=70,"B2",IF(R18&gt;=66,"B3",IF(R18&gt;=60,"C4",IF(R18&gt;=56,"C5",IF(R18&gt;=50,"C6",IF(R18&gt;=46,"D7",IF(R18&gt;=40,"E8","F9"))))))))</f>
        <v>C5</v>
      </c>
      <c r="T18" s="5">
        <f>RANK(Q18,$Q$5:$Q$29)</f>
        <v>16</v>
      </c>
    </row>
    <row r="19">
      <c r="A19" s="5" t="n">
        <v>15</v>
      </c>
      <c r="B19" s="6" t="inlineStr">
        <is>
          <t>Mohammed Hauwa</t>
        </is>
      </c>
      <c r="C19" s="5" t="n">
        <v>47</v>
      </c>
      <c r="D19" s="5" t="str">
        <f>IF(C19&gt;=80,"A1",IF(C19&gt;=70,"B2",IF(C19&gt;=66,"B3",IF(C19&gt;=60,"C4",IF(C19&gt;=56,"C5",IF(C19&gt;=50,"C6",IF(C19&gt;=46,"D7",IF(C19&gt;=40,"E8","F9"))))))))</f>
        <v>D7</v>
      </c>
      <c r="E19" s="5" t="n">
        <v>66</v>
      </c>
      <c r="F19" s="5" t="str">
        <f>IF(E19&gt;=80,"A1",IF(E19&gt;=70,"B2",IF(E19&gt;=66,"B3",IF(E19&gt;=60,"C4",IF(E19&gt;=56,"C5",IF(E19&gt;=50,"C6",IF(E19&gt;=46,"D7",IF(E19&gt;=40,"E8","F9"))))))))</f>
        <v>B3</v>
      </c>
      <c r="G19" s="5" t="n">
        <v>40</v>
      </c>
      <c r="H19" s="5" t="str">
        <f>IF(G19&gt;=80,"A1",IF(G19&gt;=70,"B2",IF(G19&gt;=66,"B3",IF(G19&gt;=60,"C4",IF(G19&gt;=56,"C5",IF(G19&gt;=50,"C6",IF(G19&gt;=46,"D7",IF(G19&gt;=40,"E8","F9"))))))))</f>
        <v>E8</v>
      </c>
      <c r="I19" s="5" t="n">
        <v>34</v>
      </c>
      <c r="J19" s="5" t="str">
        <f>IF(I19&gt;=80,"A1",IF(I19&gt;=70,"B2",IF(I19&gt;=66,"B3",IF(I19&gt;=60,"C4",IF(I19&gt;=56,"C5",IF(I19&gt;=50,"C6",IF(I19&gt;=46,"D7",IF(I19&gt;=40,"E8","F9"))))))))</f>
        <v>F9</v>
      </c>
      <c r="K19" s="5" t="n">
        <v>38</v>
      </c>
      <c r="L19" s="5" t="str">
        <f>IF(K19&gt;=80,"A1",IF(K19&gt;=70,"B2",IF(K19&gt;=66,"B3",IF(K19&gt;=60,"C4",IF(K19&gt;=56,"C5",IF(K19&gt;=50,"C6",IF(K19&gt;=46,"D7",IF(K19&gt;=40,"E8","F9"))))))))</f>
        <v>F9</v>
      </c>
      <c r="M19" s="5" t="n">
        <v>42</v>
      </c>
      <c r="N19" s="5" t="str">
        <f>IF(M19&gt;=80,"A1",IF(M19&gt;=70,"B2",IF(M19&gt;=66,"B3",IF(M19&gt;=60,"C4",IF(M19&gt;=56,"C5",IF(M19&gt;=50,"C6",IF(M19&gt;=46,"D7",IF(M19&gt;=40,"E8","F9"))))))))</f>
        <v>E8</v>
      </c>
      <c r="O19" s="5" t="n">
        <v>37</v>
      </c>
      <c r="P19" s="5" t="str">
        <f>IF(O19&gt;=80,"A1",IF(O19&gt;=70,"B2",IF(O19&gt;=66,"B3",IF(O19&gt;=60,"C4",IF(O19&gt;=56,"C5",IF(O19&gt;=50,"C6",IF(O19&gt;=46,"D7",IF(O19&gt;=40,"E8","F9"))))))))</f>
        <v>F9</v>
      </c>
      <c r="Q19" s="7">
        <f>SUM(C19,E19,G19,I19,K19,M19,O19)</f>
        <v>304</v>
      </c>
      <c r="R19" s="8">
        <f>AVERAGE(C19,E19,G19,I19,K19,M19,O19)</f>
        <v>43.4285714285714</v>
      </c>
      <c r="S19" s="7" t="str">
        <f>IF(R19&gt;=80,"A1",IF(R19&gt;=70,"B2",IF(R19&gt;=66,"B3",IF(R19&gt;=60,"C4",IF(R19&gt;=56,"C5",IF(R19&gt;=50,"C6",IF(R19&gt;=46,"D7",IF(R19&gt;=40,"E8","F9"))))))))</f>
        <v>E8</v>
      </c>
      <c r="T19" s="5">
        <f>RANK(Q19,$Q$5:$Q$29)</f>
        <v>22</v>
      </c>
    </row>
    <row r="20">
      <c r="A20" s="5" t="n">
        <v>16</v>
      </c>
      <c r="B20" s="6" t="inlineStr">
        <is>
          <t>Nnamdi Ifeoma</t>
        </is>
      </c>
      <c r="C20" s="5" t="n">
        <v>69</v>
      </c>
      <c r="D20" s="5" t="str">
        <f>IF(C20&gt;=80,"A1",IF(C20&gt;=70,"B2",IF(C20&gt;=66,"B3",IF(C20&gt;=60,"C4",IF(C20&gt;=56,"C5",IF(C20&gt;=50,"C6",IF(C20&gt;=46,"D7",IF(C20&gt;=40,"E8","F9"))))))))</f>
        <v>B3</v>
      </c>
      <c r="E20" s="5" t="n">
        <v>68</v>
      </c>
      <c r="F20" s="5" t="str">
        <f>IF(E20&gt;=80,"A1",IF(E20&gt;=70,"B2",IF(E20&gt;=66,"B3",IF(E20&gt;=60,"C4",IF(E20&gt;=56,"C5",IF(E20&gt;=50,"C6",IF(E20&gt;=46,"D7",IF(E20&gt;=40,"E8","F9"))))))))</f>
        <v>B3</v>
      </c>
      <c r="G20" s="5" t="n">
        <v>51</v>
      </c>
      <c r="H20" s="5" t="str">
        <f>IF(G20&gt;=80,"A1",IF(G20&gt;=70,"B2",IF(G20&gt;=66,"B3",IF(G20&gt;=60,"C4",IF(G20&gt;=56,"C5",IF(G20&gt;=50,"C6",IF(G20&gt;=46,"D7",IF(G20&gt;=40,"E8","F9"))))))))</f>
        <v>C6</v>
      </c>
      <c r="I20" s="5" t="n">
        <v>52</v>
      </c>
      <c r="J20" s="5" t="str">
        <f>IF(I20&gt;=80,"A1",IF(I20&gt;=70,"B2",IF(I20&gt;=66,"B3",IF(I20&gt;=60,"C4",IF(I20&gt;=56,"C5",IF(I20&gt;=50,"C6",IF(I20&gt;=46,"D7",IF(I20&gt;=40,"E8","F9"))))))))</f>
        <v>C6</v>
      </c>
      <c r="K20" s="5" t="n">
        <v>53</v>
      </c>
      <c r="L20" s="5" t="str">
        <f>IF(K20&gt;=80,"A1",IF(K20&gt;=70,"B2",IF(K20&gt;=66,"B3",IF(K20&gt;=60,"C4",IF(K20&gt;=56,"C5",IF(K20&gt;=50,"C6",IF(K20&gt;=46,"D7",IF(K20&gt;=40,"E8","F9"))))))))</f>
        <v>C6</v>
      </c>
      <c r="M20" s="5" t="n">
        <v>62</v>
      </c>
      <c r="N20" s="5" t="str">
        <f>IF(M20&gt;=80,"A1",IF(M20&gt;=70,"B2",IF(M20&gt;=66,"B3",IF(M20&gt;=60,"C4",IF(M20&gt;=56,"C5",IF(M20&gt;=50,"C6",IF(M20&gt;=46,"D7",IF(M20&gt;=40,"E8","F9"))))))))</f>
        <v>C4</v>
      </c>
      <c r="O20" s="5" t="n">
        <v>51</v>
      </c>
      <c r="P20" s="5" t="str">
        <f>IF(O20&gt;=80,"A1",IF(O20&gt;=70,"B2",IF(O20&gt;=66,"B3",IF(O20&gt;=60,"C4",IF(O20&gt;=56,"C5",IF(O20&gt;=50,"C6",IF(O20&gt;=46,"D7",IF(O20&gt;=40,"E8","F9"))))))))</f>
        <v>C6</v>
      </c>
      <c r="Q20" s="7">
        <f>SUM(C20,E20,G20,I20,K20,M20,O20)</f>
        <v>406</v>
      </c>
      <c r="R20" s="8">
        <f>AVERAGE(C20,E20,G20,I20,K20,M20,O20)</f>
        <v>58</v>
      </c>
      <c r="S20" s="7" t="str">
        <f>IF(R20&gt;=80,"A1",IF(R20&gt;=70,"B2",IF(R20&gt;=66,"B3",IF(R20&gt;=60,"C4",IF(R20&gt;=56,"C5",IF(R20&gt;=50,"C6",IF(R20&gt;=46,"D7",IF(R20&gt;=40,"E8","F9"))))))))</f>
        <v>C5</v>
      </c>
      <c r="T20" s="5">
        <f>RANK(Q20,$Q$5:$Q$29)</f>
        <v>15</v>
      </c>
    </row>
    <row r="21">
      <c r="A21" s="5" t="n">
        <v>17</v>
      </c>
      <c r="B21" s="6" t="inlineStr">
        <is>
          <t>Nwosu Emeka</t>
        </is>
      </c>
      <c r="C21" s="5" t="n">
        <v>73</v>
      </c>
      <c r="D21" s="5" t="str">
        <f>IF(C21&gt;=80,"A1",IF(C21&gt;=70,"B2",IF(C21&gt;=66,"B3",IF(C21&gt;=60,"C4",IF(C21&gt;=56,"C5",IF(C21&gt;=50,"C6",IF(C21&gt;=46,"D7",IF(C21&gt;=40,"E8","F9"))))))))</f>
        <v>B2</v>
      </c>
      <c r="E21" s="5" t="n">
        <v>66</v>
      </c>
      <c r="F21" s="5" t="str">
        <f>IF(E21&gt;=80,"A1",IF(E21&gt;=70,"B2",IF(E21&gt;=66,"B3",IF(E21&gt;=60,"C4",IF(E21&gt;=56,"C5",IF(E21&gt;=50,"C6",IF(E21&gt;=46,"D7",IF(E21&gt;=40,"E8","F9"))))))))</f>
        <v>B3</v>
      </c>
      <c r="G21" s="5" t="n">
        <v>65</v>
      </c>
      <c r="H21" s="5" t="str">
        <f>IF(G21&gt;=80,"A1",IF(G21&gt;=70,"B2",IF(G21&gt;=66,"B3",IF(G21&gt;=60,"C4",IF(G21&gt;=56,"C5",IF(G21&gt;=50,"C6",IF(G21&gt;=46,"D7",IF(G21&gt;=40,"E8","F9"))))))))</f>
        <v>C4</v>
      </c>
      <c r="I21" s="5" t="n">
        <v>74</v>
      </c>
      <c r="J21" s="5" t="str">
        <f>IF(I21&gt;=80,"A1",IF(I21&gt;=70,"B2",IF(I21&gt;=66,"B3",IF(I21&gt;=60,"C4",IF(I21&gt;=56,"C5",IF(I21&gt;=50,"C6",IF(I21&gt;=46,"D7",IF(I21&gt;=40,"E8","F9"))))))))</f>
        <v>B2</v>
      </c>
      <c r="K21" s="5" t="n">
        <v>72</v>
      </c>
      <c r="L21" s="5" t="str">
        <f>IF(K21&gt;=80,"A1",IF(K21&gt;=70,"B2",IF(K21&gt;=66,"B3",IF(K21&gt;=60,"C4",IF(K21&gt;=56,"C5",IF(K21&gt;=50,"C6",IF(K21&gt;=46,"D7",IF(K21&gt;=40,"E8","F9"))))))))</f>
        <v>B2</v>
      </c>
      <c r="M21" s="5" t="n">
        <v>70</v>
      </c>
      <c r="N21" s="5" t="str">
        <f>IF(M21&gt;=80,"A1",IF(M21&gt;=70,"B2",IF(M21&gt;=66,"B3",IF(M21&gt;=60,"C4",IF(M21&gt;=56,"C5",IF(M21&gt;=50,"C6",IF(M21&gt;=46,"D7",IF(M21&gt;=40,"E8","F9"))))))))</f>
        <v>B2</v>
      </c>
      <c r="O21" s="5" t="n">
        <v>58</v>
      </c>
      <c r="P21" s="5" t="str">
        <f>IF(O21&gt;=80,"A1",IF(O21&gt;=70,"B2",IF(O21&gt;=66,"B3",IF(O21&gt;=60,"C4",IF(O21&gt;=56,"C5",IF(O21&gt;=50,"C6",IF(O21&gt;=46,"D7",IF(O21&gt;=40,"E8","F9"))))))))</f>
        <v>C5</v>
      </c>
      <c r="Q21" s="7">
        <f>SUM(C21,E21,G21,I21,K21,M21,O21)</f>
        <v>478</v>
      </c>
      <c r="R21" s="8">
        <f>AVERAGE(C21,E21,G21,I21,K21,M21,O21)</f>
        <v>68.2857142857143</v>
      </c>
      <c r="S21" s="7" t="str">
        <f>IF(R21&gt;=80,"A1",IF(R21&gt;=70,"B2",IF(R21&gt;=66,"B3",IF(R21&gt;=60,"C4",IF(R21&gt;=56,"C5",IF(R21&gt;=50,"C6",IF(R21&gt;=46,"D7",IF(R21&gt;=40,"E8","F9"))))))))</f>
        <v>B3</v>
      </c>
      <c r="T21" s="5">
        <f>RANK(Q21,$Q$5:$Q$29)</f>
        <v>8</v>
      </c>
    </row>
    <row r="22">
      <c r="A22" s="5" t="n">
        <v>18</v>
      </c>
      <c r="B22" s="6" t="inlineStr">
        <is>
          <t>Obi Chukwudi</t>
        </is>
      </c>
      <c r="C22" s="5" t="n">
        <v>86</v>
      </c>
      <c r="D22" s="5" t="str">
        <f>IF(C22&gt;=80,"A1",IF(C22&gt;=70,"B2",IF(C22&gt;=66,"B3",IF(C22&gt;=60,"C4",IF(C22&gt;=56,"C5",IF(C22&gt;=50,"C6",IF(C22&gt;=46,"D7",IF(C22&gt;=40,"E8","F9"))))))))</f>
        <v>A1</v>
      </c>
      <c r="E22" s="5" t="n">
        <v>84</v>
      </c>
      <c r="F22" s="5" t="str">
        <f>IF(E22&gt;=80,"A1",IF(E22&gt;=70,"B2",IF(E22&gt;=66,"B3",IF(E22&gt;=60,"C4",IF(E22&gt;=56,"C5",IF(E22&gt;=50,"C6",IF(E22&gt;=46,"D7",IF(E22&gt;=40,"E8","F9"))))))))</f>
        <v>A1</v>
      </c>
      <c r="G22" s="5" t="n">
        <v>59</v>
      </c>
      <c r="H22" s="5" t="str">
        <f>IF(G22&gt;=80,"A1",IF(G22&gt;=70,"B2",IF(G22&gt;=66,"B3",IF(G22&gt;=60,"C4",IF(G22&gt;=56,"C5",IF(G22&gt;=50,"C6",IF(G22&gt;=46,"D7",IF(G22&gt;=40,"E8","F9"))))))))</f>
        <v>C5</v>
      </c>
      <c r="I22" s="5" t="n">
        <v>60</v>
      </c>
      <c r="J22" s="5" t="str">
        <f>IF(I22&gt;=80,"A1",IF(I22&gt;=70,"B2",IF(I22&gt;=66,"B3",IF(I22&gt;=60,"C4",IF(I22&gt;=56,"C5",IF(I22&gt;=50,"C6",IF(I22&gt;=46,"D7",IF(I22&gt;=40,"E8","F9"))))))))</f>
        <v>C4</v>
      </c>
      <c r="K22" s="5" t="n">
        <v>46</v>
      </c>
      <c r="L22" s="5" t="str">
        <f>IF(K22&gt;=80,"A1",IF(K22&gt;=70,"B2",IF(K22&gt;=66,"B3",IF(K22&gt;=60,"C4",IF(K22&gt;=56,"C5",IF(K22&gt;=50,"C6",IF(K22&gt;=46,"D7",IF(K22&gt;=40,"E8","F9"))))))))</f>
        <v>D7</v>
      </c>
      <c r="M22" s="5" t="n">
        <v>54</v>
      </c>
      <c r="N22" s="5" t="str">
        <f>IF(M22&gt;=80,"A1",IF(M22&gt;=70,"B2",IF(M22&gt;=66,"B3",IF(M22&gt;=60,"C4",IF(M22&gt;=56,"C5",IF(M22&gt;=50,"C6",IF(M22&gt;=46,"D7",IF(M22&gt;=40,"E8","F9"))))))))</f>
        <v>C6</v>
      </c>
      <c r="O22" s="5" t="n">
        <v>61</v>
      </c>
      <c r="P22" s="5" t="str">
        <f>IF(O22&gt;=80,"A1",IF(O22&gt;=70,"B2",IF(O22&gt;=66,"B3",IF(O22&gt;=60,"C4",IF(O22&gt;=56,"C5",IF(O22&gt;=50,"C6",IF(O22&gt;=46,"D7",IF(O22&gt;=40,"E8","F9"))))))))</f>
        <v>C4</v>
      </c>
      <c r="Q22" s="7">
        <f>SUM(C22,E22,G22,I22,K22,M22,O22)</f>
        <v>450</v>
      </c>
      <c r="R22" s="8">
        <f>AVERAGE(C22,E22,G22,I22,K22,M22,O22)</f>
        <v>64.2857142857143</v>
      </c>
      <c r="S22" s="7" t="str">
        <f>IF(R22&gt;=80,"A1",IF(R22&gt;=70,"B2",IF(R22&gt;=66,"B3",IF(R22&gt;=60,"C4",IF(R22&gt;=56,"C5",IF(R22&gt;=50,"C6",IF(R22&gt;=46,"D7",IF(R22&gt;=40,"E8","F9"))))))))</f>
        <v>C4</v>
      </c>
      <c r="T22" s="5">
        <f>RANK(Q22,$Q$5:$Q$29)</f>
        <v>10</v>
      </c>
    </row>
    <row r="23">
      <c r="A23" s="5" t="n">
        <v>19</v>
      </c>
      <c r="B23" s="6" t="inlineStr">
        <is>
          <t>Ogunleye Damilola</t>
        </is>
      </c>
      <c r="C23" s="5" t="n">
        <v>76</v>
      </c>
      <c r="D23" s="5" t="str">
        <f>IF(C23&gt;=80,"A1",IF(C23&gt;=70,"B2",IF(C23&gt;=66,"B3",IF(C23&gt;=60,"C4",IF(C23&gt;=56,"C5",IF(C23&gt;=50,"C6",IF(C23&gt;=46,"D7",IF(C23&gt;=40,"E8","F9"))))))))</f>
        <v>B2</v>
      </c>
      <c r="E23" s="5" t="n">
        <v>80</v>
      </c>
      <c r="F23" s="5" t="str">
        <f>IF(E23&gt;=80,"A1",IF(E23&gt;=70,"B2",IF(E23&gt;=66,"B3",IF(E23&gt;=60,"C4",IF(E23&gt;=56,"C5",IF(E23&gt;=50,"C6",IF(E23&gt;=46,"D7",IF(E23&gt;=40,"E8","F9"))))))))</f>
        <v>A1</v>
      </c>
      <c r="G23" s="5" t="n">
        <v>69</v>
      </c>
      <c r="H23" s="5" t="str">
        <f>IF(G23&gt;=80,"A1",IF(G23&gt;=70,"B2",IF(G23&gt;=66,"B3",IF(G23&gt;=60,"C4",IF(G23&gt;=56,"C5",IF(G23&gt;=50,"C6",IF(G23&gt;=46,"D7",IF(G23&gt;=40,"E8","F9"))))))))</f>
        <v>B3</v>
      </c>
      <c r="I23" s="5" t="n">
        <v>69</v>
      </c>
      <c r="J23" s="5" t="str">
        <f>IF(I23&gt;=80,"A1",IF(I23&gt;=70,"B2",IF(I23&gt;=66,"B3",IF(I23&gt;=60,"C4",IF(I23&gt;=56,"C5",IF(I23&gt;=50,"C6",IF(I23&gt;=46,"D7",IF(I23&gt;=40,"E8","F9"))))))))</f>
        <v>B3</v>
      </c>
      <c r="K23" s="5" t="n">
        <v>51</v>
      </c>
      <c r="L23" s="5" t="str">
        <f>IF(K23&gt;=80,"A1",IF(K23&gt;=70,"B2",IF(K23&gt;=66,"B3",IF(K23&gt;=60,"C4",IF(K23&gt;=56,"C5",IF(K23&gt;=50,"C6",IF(K23&gt;=46,"D7",IF(K23&gt;=40,"E8","F9"))))))))</f>
        <v>C6</v>
      </c>
      <c r="M23" s="5" t="n">
        <v>51</v>
      </c>
      <c r="N23" s="5" t="str">
        <f>IF(M23&gt;=80,"A1",IF(M23&gt;=70,"B2",IF(M23&gt;=66,"B3",IF(M23&gt;=60,"C4",IF(M23&gt;=56,"C5",IF(M23&gt;=50,"C6",IF(M23&gt;=46,"D7",IF(M23&gt;=40,"E8","F9"))))))))</f>
        <v>C6</v>
      </c>
      <c r="O23" s="5" t="n">
        <v>61</v>
      </c>
      <c r="P23" s="5" t="str">
        <f>IF(O23&gt;=80,"A1",IF(O23&gt;=70,"B2",IF(O23&gt;=66,"B3",IF(O23&gt;=60,"C4",IF(O23&gt;=56,"C5",IF(O23&gt;=50,"C6",IF(O23&gt;=46,"D7",IF(O23&gt;=40,"E8","F9"))))))))</f>
        <v>C4</v>
      </c>
      <c r="Q23" s="7">
        <f>SUM(C23,E23,G23,I23,K23,M23,O23)</f>
        <v>457</v>
      </c>
      <c r="R23" s="8">
        <f>AVERAGE(C23,E23,G23,I23,K23,M23,O23)</f>
        <v>65.2857142857143</v>
      </c>
      <c r="S23" s="7" t="str">
        <f>IF(R23&gt;=80,"A1",IF(R23&gt;=70,"B2",IF(R23&gt;=66,"B3",IF(R23&gt;=60,"C4",IF(R23&gt;=56,"C5",IF(R23&gt;=50,"C6",IF(R23&gt;=46,"D7",IF(R23&gt;=40,"E8","F9"))))))))</f>
        <v>C4</v>
      </c>
      <c r="T23" s="5">
        <f>RANK(Q23,$Q$5:$Q$29)</f>
        <v>9</v>
      </c>
    </row>
    <row r="24">
      <c r="A24" s="5" t="n">
        <v>20</v>
      </c>
      <c r="B24" s="6" t="inlineStr">
        <is>
          <t>Okafor Chinedu</t>
        </is>
      </c>
      <c r="C24" s="5" t="n">
        <v>97</v>
      </c>
      <c r="D24" s="5" t="str">
        <f>IF(C24&gt;=80,"A1",IF(C24&gt;=70,"B2",IF(C24&gt;=66,"B3",IF(C24&gt;=60,"C4",IF(C24&gt;=56,"C5",IF(C24&gt;=50,"C6",IF(C24&gt;=46,"D7",IF(C24&gt;=40,"E8","F9"))))))))</f>
        <v>A1</v>
      </c>
      <c r="E24" s="5" t="n">
        <v>87</v>
      </c>
      <c r="F24" s="5" t="str">
        <f>IF(E24&gt;=80,"A1",IF(E24&gt;=70,"B2",IF(E24&gt;=66,"B3",IF(E24&gt;=60,"C4",IF(E24&gt;=56,"C5",IF(E24&gt;=50,"C6",IF(E24&gt;=46,"D7",IF(E24&gt;=40,"E8","F9"))))))))</f>
        <v>A1</v>
      </c>
      <c r="G24" s="5" t="n">
        <v>93</v>
      </c>
      <c r="H24" s="5" t="str">
        <f>IF(G24&gt;=80,"A1",IF(G24&gt;=70,"B2",IF(G24&gt;=66,"B3",IF(G24&gt;=60,"C4",IF(G24&gt;=56,"C5",IF(G24&gt;=50,"C6",IF(G24&gt;=46,"D7",IF(G24&gt;=40,"E8","F9"))))))))</f>
        <v>A1</v>
      </c>
      <c r="I24" s="5" t="n">
        <v>97</v>
      </c>
      <c r="J24" s="5" t="str">
        <f>IF(I24&gt;=80,"A1",IF(I24&gt;=70,"B2",IF(I24&gt;=66,"B3",IF(I24&gt;=60,"C4",IF(I24&gt;=56,"C5",IF(I24&gt;=50,"C6",IF(I24&gt;=46,"D7",IF(I24&gt;=40,"E8","F9"))))))))</f>
        <v>A1</v>
      </c>
      <c r="K24" s="5" t="n">
        <v>76</v>
      </c>
      <c r="L24" s="5" t="str">
        <f>IF(K24&gt;=80,"A1",IF(K24&gt;=70,"B2",IF(K24&gt;=66,"B3",IF(K24&gt;=60,"C4",IF(K24&gt;=56,"C5",IF(K24&gt;=50,"C6",IF(K24&gt;=46,"D7",IF(K24&gt;=40,"E8","F9"))))))))</f>
        <v>B2</v>
      </c>
      <c r="M24" s="5" t="n">
        <v>97</v>
      </c>
      <c r="N24" s="5" t="str">
        <f>IF(M24&gt;=80,"A1",IF(M24&gt;=70,"B2",IF(M24&gt;=66,"B3",IF(M24&gt;=60,"C4",IF(M24&gt;=56,"C5",IF(M24&gt;=50,"C6",IF(M24&gt;=46,"D7",IF(M24&gt;=40,"E8","F9"))))))))</f>
        <v>A1</v>
      </c>
      <c r="O24" s="5" t="n">
        <v>80</v>
      </c>
      <c r="P24" s="5" t="str">
        <f>IF(O24&gt;=80,"A1",IF(O24&gt;=70,"B2",IF(O24&gt;=66,"B3",IF(O24&gt;=60,"C4",IF(O24&gt;=56,"C5",IF(O24&gt;=50,"C6",IF(O24&gt;=46,"D7",IF(O24&gt;=40,"E8","F9"))))))))</f>
        <v>A1</v>
      </c>
      <c r="Q24" s="7">
        <f>SUM(C24,E24,G24,I24,K24,M24,O24)</f>
        <v>627</v>
      </c>
      <c r="R24" s="8">
        <f>AVERAGE(C24,E24,G24,I24,K24,M24,O24)</f>
        <v>89.5714285714286</v>
      </c>
      <c r="S24" s="7" t="str">
        <f>IF(R24&gt;=80,"A1",IF(R24&gt;=70,"B2",IF(R24&gt;=66,"B3",IF(R24&gt;=60,"C4",IF(R24&gt;=56,"C5",IF(R24&gt;=50,"C6",IF(R24&gt;=46,"D7",IF(R24&gt;=40,"E8","F9"))))))))</f>
        <v>A1</v>
      </c>
      <c r="T24" s="5">
        <f>RANK(Q24,$Q$5:$Q$29)</f>
        <v>1</v>
      </c>
    </row>
    <row r="25">
      <c r="A25" s="5" t="n">
        <v>21</v>
      </c>
      <c r="B25" s="6" t="inlineStr">
        <is>
          <t>Okonkwo Chiamaka</t>
        </is>
      </c>
      <c r="C25" s="5" t="n">
        <v>89</v>
      </c>
      <c r="D25" s="5" t="str">
        <f>IF(C25&gt;=80,"A1",IF(C25&gt;=70,"B2",IF(C25&gt;=66,"B3",IF(C25&gt;=60,"C4",IF(C25&gt;=56,"C5",IF(C25&gt;=50,"C6",IF(C25&gt;=46,"D7",IF(C25&gt;=40,"E8","F9"))))))))</f>
        <v>A1</v>
      </c>
      <c r="E25" s="5" t="n">
        <v>85</v>
      </c>
      <c r="F25" s="5" t="str">
        <f>IF(E25&gt;=80,"A1",IF(E25&gt;=70,"B2",IF(E25&gt;=66,"B3",IF(E25&gt;=60,"C4",IF(E25&gt;=56,"C5",IF(E25&gt;=50,"C6",IF(E25&gt;=46,"D7",IF(E25&gt;=40,"E8","F9"))))))))</f>
        <v>A1</v>
      </c>
      <c r="G25" s="5" t="n">
        <v>93</v>
      </c>
      <c r="H25" s="5" t="str">
        <f>IF(G25&gt;=80,"A1",IF(G25&gt;=70,"B2",IF(G25&gt;=66,"B3",IF(G25&gt;=60,"C4",IF(G25&gt;=56,"C5",IF(G25&gt;=50,"C6",IF(G25&gt;=46,"D7",IF(G25&gt;=40,"E8","F9"))))))))</f>
        <v>A1</v>
      </c>
      <c r="I25" s="5" t="n">
        <v>67</v>
      </c>
      <c r="J25" s="5" t="str">
        <f>IF(I25&gt;=80,"A1",IF(I25&gt;=70,"B2",IF(I25&gt;=66,"B3",IF(I25&gt;=60,"C4",IF(I25&gt;=56,"C5",IF(I25&gt;=50,"C6",IF(I25&gt;=46,"D7",IF(I25&gt;=40,"E8","F9"))))))))</f>
        <v>B3</v>
      </c>
      <c r="K25" s="5" t="n">
        <v>63</v>
      </c>
      <c r="L25" s="5" t="str">
        <f>IF(K25&gt;=80,"A1",IF(K25&gt;=70,"B2",IF(K25&gt;=66,"B3",IF(K25&gt;=60,"C4",IF(K25&gt;=56,"C5",IF(K25&gt;=50,"C6",IF(K25&gt;=46,"D7",IF(K25&gt;=40,"E8","F9"))))))))</f>
        <v>C4</v>
      </c>
      <c r="M25" s="5" t="n">
        <v>92</v>
      </c>
      <c r="N25" s="5" t="str">
        <f>IF(M25&gt;=80,"A1",IF(M25&gt;=70,"B2",IF(M25&gt;=66,"B3",IF(M25&gt;=60,"C4",IF(M25&gt;=56,"C5",IF(M25&gt;=50,"C6",IF(M25&gt;=46,"D7",IF(M25&gt;=40,"E8","F9"))))))))</f>
        <v>A1</v>
      </c>
      <c r="O25" s="5" t="n">
        <v>62</v>
      </c>
      <c r="P25" s="5" t="str">
        <f>IF(O25&gt;=80,"A1",IF(O25&gt;=70,"B2",IF(O25&gt;=66,"B3",IF(O25&gt;=60,"C4",IF(O25&gt;=56,"C5",IF(O25&gt;=50,"C6",IF(O25&gt;=46,"D7",IF(O25&gt;=40,"E8","F9"))))))))</f>
        <v>C4</v>
      </c>
      <c r="Q25" s="7">
        <f>SUM(C25,E25,G25,I25,K25,M25,O25)</f>
        <v>551</v>
      </c>
      <c r="R25" s="8">
        <f>AVERAGE(C25,E25,G25,I25,K25,M25,O25)</f>
        <v>78.7142857142857</v>
      </c>
      <c r="S25" s="7" t="str">
        <f>IF(R25&gt;=80,"A1",IF(R25&gt;=70,"B2",IF(R25&gt;=66,"B3",IF(R25&gt;=60,"C4",IF(R25&gt;=56,"C5",IF(R25&gt;=50,"C6",IF(R25&gt;=46,"D7",IF(R25&gt;=40,"E8","F9"))))))))</f>
        <v>B2</v>
      </c>
      <c r="T25" s="5">
        <f>RANK(Q25,$Q$5:$Q$29)</f>
        <v>3</v>
      </c>
    </row>
    <row r="26">
      <c r="A26" s="5" t="n">
        <v>22</v>
      </c>
      <c r="B26" s="6" t="inlineStr">
        <is>
          <t>Okoro Samuel</t>
        </is>
      </c>
      <c r="C26" s="5" t="n">
        <v>91</v>
      </c>
      <c r="D26" s="5" t="str">
        <f>IF(C26&gt;=80,"A1",IF(C26&gt;=70,"B2",IF(C26&gt;=66,"B3",IF(C26&gt;=60,"C4",IF(C26&gt;=56,"C5",IF(C26&gt;=50,"C6",IF(C26&gt;=46,"D7",IF(C26&gt;=40,"E8","F9"))))))))</f>
        <v>A1</v>
      </c>
      <c r="E26" s="5" t="n">
        <v>83</v>
      </c>
      <c r="F26" s="5" t="str">
        <f>IF(E26&gt;=80,"A1",IF(E26&gt;=70,"B2",IF(E26&gt;=66,"B3",IF(E26&gt;=60,"C4",IF(E26&gt;=56,"C5",IF(E26&gt;=50,"C6",IF(E26&gt;=46,"D7",IF(E26&gt;=40,"E8","F9"))))))))</f>
        <v>A1</v>
      </c>
      <c r="G26" s="5" t="n">
        <v>86</v>
      </c>
      <c r="H26" s="5" t="str">
        <f>IF(G26&gt;=80,"A1",IF(G26&gt;=70,"B2",IF(G26&gt;=66,"B3",IF(G26&gt;=60,"C4",IF(G26&gt;=56,"C5",IF(G26&gt;=50,"C6",IF(G26&gt;=46,"D7",IF(G26&gt;=40,"E8","F9"))))))))</f>
        <v>A1</v>
      </c>
      <c r="I26" s="5" t="n">
        <v>83</v>
      </c>
      <c r="J26" s="5" t="str">
        <f>IF(I26&gt;=80,"A1",IF(I26&gt;=70,"B2",IF(I26&gt;=66,"B3",IF(I26&gt;=60,"C4",IF(I26&gt;=56,"C5",IF(I26&gt;=50,"C6",IF(I26&gt;=46,"D7",IF(I26&gt;=40,"E8","F9"))))))))</f>
        <v>A1</v>
      </c>
      <c r="K26" s="5" t="n">
        <v>82</v>
      </c>
      <c r="L26" s="5" t="str">
        <f>IF(K26&gt;=80,"A1",IF(K26&gt;=70,"B2",IF(K26&gt;=66,"B3",IF(K26&gt;=60,"C4",IF(K26&gt;=56,"C5",IF(K26&gt;=50,"C6",IF(K26&gt;=46,"D7",IF(K26&gt;=40,"E8","F9"))))))))</f>
        <v>A1</v>
      </c>
      <c r="M26" s="5" t="n">
        <v>84</v>
      </c>
      <c r="N26" s="5" t="str">
        <f>IF(M26&gt;=80,"A1",IF(M26&gt;=70,"B2",IF(M26&gt;=66,"B3",IF(M26&gt;=60,"C4",IF(M26&gt;=56,"C5",IF(M26&gt;=50,"C6",IF(M26&gt;=46,"D7",IF(M26&gt;=40,"E8","F9"))))))))</f>
        <v>A1</v>
      </c>
      <c r="O26" s="5" t="n">
        <v>90</v>
      </c>
      <c r="P26" s="5" t="str">
        <f>IF(O26&gt;=80,"A1",IF(O26&gt;=70,"B2",IF(O26&gt;=66,"B3",IF(O26&gt;=60,"C4",IF(O26&gt;=56,"C5",IF(O26&gt;=50,"C6",IF(O26&gt;=46,"D7",IF(O26&gt;=40,"E8","F9"))))))))</f>
        <v>A1</v>
      </c>
      <c r="Q26" s="7">
        <f>SUM(C26,E26,G26,I26,K26,M26,O26)</f>
        <v>599</v>
      </c>
      <c r="R26" s="8">
        <f>AVERAGE(C26,E26,G26,I26,K26,M26,O26)</f>
        <v>85.5714285714286</v>
      </c>
      <c r="S26" s="7" t="str">
        <f>IF(R26&gt;=80,"A1",IF(R26&gt;=70,"B2",IF(R26&gt;=66,"B3",IF(R26&gt;=60,"C4",IF(R26&gt;=56,"C5",IF(R26&gt;=50,"C6",IF(R26&gt;=46,"D7",IF(R26&gt;=40,"E8","F9"))))))))</f>
        <v>A1</v>
      </c>
      <c r="T26" s="5">
        <f>RANK(Q26,$Q$5:$Q$29)</f>
        <v>2</v>
      </c>
    </row>
    <row r="27">
      <c r="A27" s="5" t="n">
        <v>23</v>
      </c>
      <c r="B27" s="6" t="inlineStr">
        <is>
          <t>Olawale Kehinde</t>
        </is>
      </c>
      <c r="C27" s="5" t="n">
        <v>37</v>
      </c>
      <c r="D27" s="5" t="str">
        <f>IF(C27&gt;=80,"A1",IF(C27&gt;=70,"B2",IF(C27&gt;=66,"B3",IF(C27&gt;=60,"C4",IF(C27&gt;=56,"C5",IF(C27&gt;=50,"C6",IF(C27&gt;=46,"D7",IF(C27&gt;=40,"E8","F9"))))))))</f>
        <v>F9</v>
      </c>
      <c r="E27" s="5" t="n">
        <v>40</v>
      </c>
      <c r="F27" s="5" t="str">
        <f>IF(E27&gt;=80,"A1",IF(E27&gt;=70,"B2",IF(E27&gt;=66,"B3",IF(E27&gt;=60,"C4",IF(E27&gt;=56,"C5",IF(E27&gt;=50,"C6",IF(E27&gt;=46,"D7",IF(E27&gt;=40,"E8","F9"))))))))</f>
        <v>E8</v>
      </c>
      <c r="G27" s="5" t="n">
        <v>52</v>
      </c>
      <c r="H27" s="5" t="str">
        <f>IF(G27&gt;=80,"A1",IF(G27&gt;=70,"B2",IF(G27&gt;=66,"B3",IF(G27&gt;=60,"C4",IF(G27&gt;=56,"C5",IF(G27&gt;=50,"C6",IF(G27&gt;=46,"D7",IF(G27&gt;=40,"E8","F9"))))))))</f>
        <v>C6</v>
      </c>
      <c r="I27" s="5" t="n">
        <v>18</v>
      </c>
      <c r="J27" s="5" t="str">
        <f>IF(I27&gt;=80,"A1",IF(I27&gt;=70,"B2",IF(I27&gt;=66,"B3",IF(I27&gt;=60,"C4",IF(I27&gt;=56,"C5",IF(I27&gt;=50,"C6",IF(I27&gt;=46,"D7",IF(I27&gt;=40,"E8","F9"))))))))</f>
        <v>F9</v>
      </c>
      <c r="K27" s="5" t="n">
        <v>27</v>
      </c>
      <c r="L27" s="5" t="str">
        <f>IF(K27&gt;=80,"A1",IF(K27&gt;=70,"B2",IF(K27&gt;=66,"B3",IF(K27&gt;=60,"C4",IF(K27&gt;=56,"C5",IF(K27&gt;=50,"C6",IF(K27&gt;=46,"D7",IF(K27&gt;=40,"E8","F9"))))))))</f>
        <v>F9</v>
      </c>
      <c r="M27" s="5" t="n">
        <v>25</v>
      </c>
      <c r="N27" s="5" t="str">
        <f>IF(M27&gt;=80,"A1",IF(M27&gt;=70,"B2",IF(M27&gt;=66,"B3",IF(M27&gt;=60,"C4",IF(M27&gt;=56,"C5",IF(M27&gt;=50,"C6",IF(M27&gt;=46,"D7",IF(M27&gt;=40,"E8","F9"))))))))</f>
        <v>F9</v>
      </c>
      <c r="O27" s="5" t="n">
        <v>24</v>
      </c>
      <c r="P27" s="5" t="str">
        <f>IF(O27&gt;=80,"A1",IF(O27&gt;=70,"B2",IF(O27&gt;=66,"B3",IF(O27&gt;=60,"C4",IF(O27&gt;=56,"C5",IF(O27&gt;=50,"C6",IF(O27&gt;=46,"D7",IF(O27&gt;=40,"E8","F9"))))))))</f>
        <v>F9</v>
      </c>
      <c r="Q27" s="7">
        <f>SUM(C27,E27,G27,I27,K27,M27,O27)</f>
        <v>223</v>
      </c>
      <c r="R27" s="8">
        <f>AVERAGE(C27,E27,G27,I27,K27,M27,O27)</f>
        <v>31.8571428571429</v>
      </c>
      <c r="S27" s="7" t="str">
        <f>IF(R27&gt;=80,"A1",IF(R27&gt;=70,"B2",IF(R27&gt;=66,"B3",IF(R27&gt;=60,"C4",IF(R27&gt;=56,"C5",IF(R27&gt;=50,"C6",IF(R27&gt;=46,"D7",IF(R27&gt;=40,"E8","F9"))))))))</f>
        <v>F9</v>
      </c>
      <c r="T27" s="5">
        <f>RANK(Q27,$Q$5:$Q$29)</f>
        <v>25</v>
      </c>
    </row>
    <row r="28">
      <c r="A28" s="5" t="n">
        <v>24</v>
      </c>
      <c r="B28" s="6" t="inlineStr">
        <is>
          <t>Uche Blessing</t>
        </is>
      </c>
      <c r="C28" s="5" t="n">
        <v>78</v>
      </c>
      <c r="D28" s="5" t="str">
        <f>IF(C28&gt;=80,"A1",IF(C28&gt;=70,"B2",IF(C28&gt;=66,"B3",IF(C28&gt;=60,"C4",IF(C28&gt;=56,"C5",IF(C28&gt;=50,"C6",IF(C28&gt;=46,"D7",IF(C28&gt;=40,"E8","F9"))))))))</f>
        <v>B2</v>
      </c>
      <c r="E28" s="5" t="n">
        <v>88</v>
      </c>
      <c r="F28" s="5" t="str">
        <f>IF(E28&gt;=80,"A1",IF(E28&gt;=70,"B2",IF(E28&gt;=66,"B3",IF(E28&gt;=60,"C4",IF(E28&gt;=56,"C5",IF(E28&gt;=50,"C6",IF(E28&gt;=46,"D7",IF(E28&gt;=40,"E8","F9"))))))))</f>
        <v>A1</v>
      </c>
      <c r="G28" s="5" t="n">
        <v>63</v>
      </c>
      <c r="H28" s="5" t="str">
        <f>IF(G28&gt;=80,"A1",IF(G28&gt;=70,"B2",IF(G28&gt;=66,"B3",IF(G28&gt;=60,"C4",IF(G28&gt;=56,"C5",IF(G28&gt;=50,"C6",IF(G28&gt;=46,"D7",IF(G28&gt;=40,"E8","F9"))))))))</f>
        <v>C4</v>
      </c>
      <c r="I28" s="5" t="n">
        <v>67</v>
      </c>
      <c r="J28" s="5" t="str">
        <f>IF(I28&gt;=80,"A1",IF(I28&gt;=70,"B2",IF(I28&gt;=66,"B3",IF(I28&gt;=60,"C4",IF(I28&gt;=56,"C5",IF(I28&gt;=50,"C6",IF(I28&gt;=46,"D7",IF(I28&gt;=40,"E8","F9"))))))))</f>
        <v>B3</v>
      </c>
      <c r="K28" s="5" t="n">
        <v>73</v>
      </c>
      <c r="L28" s="5" t="str">
        <f>IF(K28&gt;=80,"A1",IF(K28&gt;=70,"B2",IF(K28&gt;=66,"B3",IF(K28&gt;=60,"C4",IF(K28&gt;=56,"C5",IF(K28&gt;=50,"C6",IF(K28&gt;=46,"D7",IF(K28&gt;=40,"E8","F9"))))))))</f>
        <v>B2</v>
      </c>
      <c r="M28" s="5" t="n">
        <v>76</v>
      </c>
      <c r="N28" s="5" t="str">
        <f>IF(M28&gt;=80,"A1",IF(M28&gt;=70,"B2",IF(M28&gt;=66,"B3",IF(M28&gt;=60,"C4",IF(M28&gt;=56,"C5",IF(M28&gt;=50,"C6",IF(M28&gt;=46,"D7",IF(M28&gt;=40,"E8","F9"))))))))</f>
        <v>B2</v>
      </c>
      <c r="O28" s="5" t="n">
        <v>60</v>
      </c>
      <c r="P28" s="5" t="str">
        <f>IF(O28&gt;=80,"A1",IF(O28&gt;=70,"B2",IF(O28&gt;=66,"B3",IF(O28&gt;=60,"C4",IF(O28&gt;=56,"C5",IF(O28&gt;=50,"C6",IF(O28&gt;=46,"D7",IF(O28&gt;=40,"E8","F9"))))))))</f>
        <v>C4</v>
      </c>
      <c r="Q28" s="7">
        <f>SUM(C28,E28,G28,I28,K28,M28,O28)</f>
        <v>505</v>
      </c>
      <c r="R28" s="8">
        <f>AVERAGE(C28,E28,G28,I28,K28,M28,O28)</f>
        <v>72.1428571428571</v>
      </c>
      <c r="S28" s="7" t="str">
        <f>IF(R28&gt;=80,"A1",IF(R28&gt;=70,"B2",IF(R28&gt;=66,"B3",IF(R28&gt;=60,"C4",IF(R28&gt;=56,"C5",IF(R28&gt;=50,"C6",IF(R28&gt;=46,"D7",IF(R28&gt;=40,"E8","F9"))))))))</f>
        <v>B2</v>
      </c>
      <c r="T28" s="5">
        <f>RANK(Q28,$Q$5:$Q$29)</f>
        <v>6</v>
      </c>
    </row>
    <row r="29">
      <c r="A29" s="5" t="n">
        <v>25</v>
      </c>
      <c r="B29" s="6" t="inlineStr">
        <is>
          <t>Yusuf Abdullahi</t>
        </is>
      </c>
      <c r="C29" s="5" t="n">
        <v>72</v>
      </c>
      <c r="D29" s="5" t="str">
        <f>IF(C29&gt;=80,"A1",IF(C29&gt;=70,"B2",IF(C29&gt;=66,"B3",IF(C29&gt;=60,"C4",IF(C29&gt;=56,"C5",IF(C29&gt;=50,"C6",IF(C29&gt;=46,"D7",IF(C29&gt;=40,"E8","F9"))))))))</f>
        <v>B2</v>
      </c>
      <c r="E29" s="5" t="n">
        <v>97</v>
      </c>
      <c r="F29" s="5" t="str">
        <f>IF(E29&gt;=80,"A1",IF(E29&gt;=70,"B2",IF(E29&gt;=66,"B3",IF(E29&gt;=60,"C4",IF(E29&gt;=56,"C5",IF(E29&gt;=50,"C6",IF(E29&gt;=46,"D7",IF(E29&gt;=40,"E8","F9"))))))))</f>
        <v>A1</v>
      </c>
      <c r="G29" s="5" t="n">
        <v>75</v>
      </c>
      <c r="H29" s="5" t="str">
        <f>IF(G29&gt;=80,"A1",IF(G29&gt;=70,"B2",IF(G29&gt;=66,"B3",IF(G29&gt;=60,"C4",IF(G29&gt;=56,"C5",IF(G29&gt;=50,"C6",IF(G29&gt;=46,"D7",IF(G29&gt;=40,"E8","F9"))))))))</f>
        <v>B2</v>
      </c>
      <c r="I29" s="5" t="n">
        <v>69</v>
      </c>
      <c r="J29" s="5" t="str">
        <f>IF(I29&gt;=80,"A1",IF(I29&gt;=70,"B2",IF(I29&gt;=66,"B3",IF(I29&gt;=60,"C4",IF(I29&gt;=56,"C5",IF(I29&gt;=50,"C6",IF(I29&gt;=46,"D7",IF(I29&gt;=40,"E8","F9"))))))))</f>
        <v>B3</v>
      </c>
      <c r="K29" s="5" t="n">
        <v>70</v>
      </c>
      <c r="L29" s="5" t="str">
        <f>IF(K29&gt;=80,"A1",IF(K29&gt;=70,"B2",IF(K29&gt;=66,"B3",IF(K29&gt;=60,"C4",IF(K29&gt;=56,"C5",IF(K29&gt;=50,"C6",IF(K29&gt;=46,"D7",IF(K29&gt;=40,"E8","F9"))))))))</f>
        <v>B2</v>
      </c>
      <c r="M29" s="5" t="n">
        <v>81</v>
      </c>
      <c r="N29" s="5" t="str">
        <f>IF(M29&gt;=80,"A1",IF(M29&gt;=70,"B2",IF(M29&gt;=66,"B3",IF(M29&gt;=60,"C4",IF(M29&gt;=56,"C5",IF(M29&gt;=50,"C6",IF(M29&gt;=46,"D7",IF(M29&gt;=40,"E8","F9"))))))))</f>
        <v>A1</v>
      </c>
      <c r="O29" s="5" t="n">
        <v>84</v>
      </c>
      <c r="P29" s="5" t="str">
        <f>IF(O29&gt;=80,"A1",IF(O29&gt;=70,"B2",IF(O29&gt;=66,"B3",IF(O29&gt;=60,"C4",IF(O29&gt;=56,"C5",IF(O29&gt;=50,"C6",IF(O29&gt;=46,"D7",IF(O29&gt;=40,"E8","F9"))))))))</f>
        <v>A1</v>
      </c>
      <c r="Q29" s="7">
        <f>SUM(C29,E29,G29,I29,K29,M29,O29)</f>
        <v>548</v>
      </c>
      <c r="R29" s="8">
        <f>AVERAGE(C29,E29,G29,I29,K29,M29,O29)</f>
        <v>78.2857142857143</v>
      </c>
      <c r="S29" s="7" t="str">
        <f>IF(R29&gt;=80,"A1",IF(R29&gt;=70,"B2",IF(R29&gt;=66,"B3",IF(R29&gt;=60,"C4",IF(R29&gt;=56,"C5",IF(R29&gt;=50,"C6",IF(R29&gt;=46,"D7",IF(R29&gt;=40,"E8","F9"))))))))</f>
        <v>B2</v>
      </c>
      <c r="T29" s="5">
        <f>RANK(Q29,$Q$5:$Q$29)</f>
        <v>4</v>
      </c>
    </row>
    <row r="30">
      <c r="A30" s="9" t="inlineStr">
        <is>
          <t>Highest score</t>
        </is>
      </c>
      <c r="B30" s="10" t="n"/>
      <c r="C30" s="11">
        <f>MAX(C5:C29)</f>
        <v>97</v>
      </c>
      <c r="D30" s="5" t="n"/>
      <c r="E30" s="11">
        <f>MAX(E5:E29)</f>
        <v>97</v>
      </c>
      <c r="F30" s="5" t="n"/>
      <c r="G30" s="11">
        <f>MAX(G5:G29)</f>
        <v>93</v>
      </c>
      <c r="H30" s="5" t="n"/>
      <c r="I30" s="11">
        <f>MAX(I5:I29)</f>
        <v>97</v>
      </c>
      <c r="J30" s="5" t="n"/>
      <c r="K30" s="11">
        <f>MAX(K5:K29)</f>
        <v>82</v>
      </c>
      <c r="L30" s="5" t="n"/>
      <c r="M30" s="11">
        <f>MAX(M5:M29)</f>
        <v>97</v>
      </c>
      <c r="N30" s="5" t="n"/>
      <c r="O30" s="11">
        <f>MAX(O5:O29)</f>
        <v>90</v>
      </c>
      <c r="P30" s="5" t="n"/>
      <c r="Q30" s="11">
        <f>MAX(Q5:Q29)</f>
        <v>627</v>
      </c>
      <c r="R30" s="12">
        <f>MAX(R5:R29)</f>
        <v>89.5714285714286</v>
      </c>
      <c r="S30" s="5" t="n"/>
      <c r="T30" s="5" t="n"/>
    </row>
    <row r="31">
      <c r="A31" s="9" t="inlineStr">
        <is>
          <t>Lowest score</t>
        </is>
      </c>
      <c r="B31" s="10" t="n"/>
      <c r="C31" s="11">
        <f>MIN(C5:C29)</f>
        <v>37</v>
      </c>
      <c r="D31" s="5" t="n"/>
      <c r="E31" s="11">
        <f>MIN(E5:E29)</f>
        <v>40</v>
      </c>
      <c r="F31" s="5" t="n"/>
      <c r="G31" s="11">
        <f>MIN(G5:G29)</f>
        <v>30</v>
      </c>
      <c r="H31" s="5" t="n"/>
      <c r="I31" s="11">
        <f>MIN(I5:I29)</f>
        <v>18</v>
      </c>
      <c r="J31" s="5" t="n"/>
      <c r="K31" s="11">
        <f>MIN(K5:K29)</f>
        <v>27</v>
      </c>
      <c r="L31" s="5" t="n"/>
      <c r="M31" s="11">
        <f>MIN(M5:M29)</f>
        <v>25</v>
      </c>
      <c r="N31" s="5" t="n"/>
      <c r="O31" s="11">
        <f>MIN(O5:O29)</f>
        <v>24</v>
      </c>
      <c r="P31" s="5" t="n"/>
      <c r="Q31" s="11">
        <f>MIN(Q5:Q29)</f>
        <v>223</v>
      </c>
      <c r="R31" s="12">
        <f>MIN(R5:R29)</f>
        <v>31.8571428571429</v>
      </c>
      <c r="S31" s="5" t="n"/>
      <c r="T31" s="5" t="n"/>
    </row>
    <row r="32">
      <c r="A32" s="9" t="inlineStr">
        <is>
          <t>Class average</t>
        </is>
      </c>
      <c r="B32" s="10" t="n"/>
      <c r="C32" s="12">
        <f>AVERAGE(C5:C29)</f>
        <v>69.72</v>
      </c>
      <c r="D32" s="5" t="n"/>
      <c r="E32" s="12">
        <f>AVERAGE(E5:E29)</f>
        <v>70.8</v>
      </c>
      <c r="F32" s="5" t="n"/>
      <c r="G32" s="12">
        <f>AVERAGE(G5:G29)</f>
        <v>62.24</v>
      </c>
      <c r="H32" s="5" t="n"/>
      <c r="I32" s="12">
        <f>AVERAGE(I5:I29)</f>
        <v>57.52</v>
      </c>
      <c r="J32" s="5" t="n"/>
      <c r="K32" s="12">
        <f>AVERAGE(K5:K29)</f>
        <v>54.96</v>
      </c>
      <c r="L32" s="5" t="n"/>
      <c r="M32" s="12">
        <f>AVERAGE(M5:M29)</f>
        <v>59.4</v>
      </c>
      <c r="N32" s="5" t="n"/>
      <c r="O32" s="12">
        <f>AVERAGE(O5:O29)</f>
        <v>53.64</v>
      </c>
      <c r="P32" s="5" t="n"/>
      <c r="Q32" s="12">
        <f>AVERAGE(Q5:Q29)</f>
        <v>428.28</v>
      </c>
      <c r="R32" s="12">
        <f>AVERAGE(R5:R29)</f>
        <v>61.1828571428571</v>
      </c>
      <c r="S32" s="5" t="n"/>
      <c r="T32" s="5" t="n"/>
    </row>
    <row r="34" ht="18" customHeight="1">
      <c r="A34" s="13" t="inlineStr">
        <is>
          <t>GRADE SUMMARY: NUMBER OF STUDENTS WITH EACH GRADE (COUNTIF)</t>
        </is>
      </c>
    </row>
    <row r="35" ht="30" customHeight="1">
      <c r="A35" s="3" t="inlineStr">
        <is>
          <t>Grade</t>
        </is>
      </c>
      <c r="B35" s="3" t="inlineStr">
        <is>
          <t>Score (remark)</t>
        </is>
      </c>
      <c r="C35" s="3" t="inlineStr">
        <is>
          <t>Mathematics</t>
        </is>
      </c>
      <c r="D35" s="4" t="n"/>
      <c r="E35" s="3" t="inlineStr">
        <is>
          <t>English Language</t>
        </is>
      </c>
      <c r="F35" s="4" t="n"/>
      <c r="G35" s="3" t="inlineStr">
        <is>
          <t>Physics</t>
        </is>
      </c>
      <c r="H35" s="4" t="n"/>
      <c r="I35" s="3" t="inlineStr">
        <is>
          <t>Chemistry</t>
        </is>
      </c>
      <c r="J35" s="4" t="n"/>
      <c r="K35" s="3" t="inlineStr">
        <is>
          <t>Biology</t>
        </is>
      </c>
      <c r="L35" s="4" t="n"/>
      <c r="M35" s="3" t="inlineStr">
        <is>
          <t>Economics</t>
        </is>
      </c>
      <c r="N35" s="4" t="n"/>
      <c r="O35" s="3" t="inlineStr">
        <is>
          <t>Computer Studies</t>
        </is>
      </c>
      <c r="P35" s="4" t="n"/>
      <c r="Q35" s="3" t="inlineStr">
        <is>
          <t>All subjects</t>
        </is>
      </c>
      <c r="R35" s="4" t="n"/>
      <c r="S35" s="3" t="inlineStr">
        <is>
          <t>Overall grade</t>
        </is>
      </c>
      <c r="T35" s="4" t="n"/>
    </row>
    <row r="36">
      <c r="A36" s="7" t="inlineStr">
        <is>
          <t>A1</t>
        </is>
      </c>
      <c r="B36" s="6" t="inlineStr">
        <is>
          <t>80 to 100 (Excellent)</t>
        </is>
      </c>
      <c r="C36" s="5">
        <f>COUNTIF(D$5:D$29,$A36)</f>
        <v>6</v>
      </c>
      <c r="D36" s="10" t="n"/>
      <c r="E36" s="5">
        <f>COUNTIF(F$5:F$29,$A36)</f>
        <v>9</v>
      </c>
      <c r="F36" s="10" t="n"/>
      <c r="G36" s="5">
        <f>COUNTIF(H$5:H$29,$A36)</f>
        <v>3</v>
      </c>
      <c r="H36" s="10" t="n"/>
      <c r="I36" s="5">
        <f>COUNTIF(J$5:J$29,$A36)</f>
        <v>2</v>
      </c>
      <c r="J36" s="10" t="n"/>
      <c r="K36" s="5">
        <f>COUNTIF(L$5:L$29,$A36)</f>
        <v>1</v>
      </c>
      <c r="L36" s="10" t="n"/>
      <c r="M36" s="5">
        <f>COUNTIF(N$5:N$29,$A36)</f>
        <v>4</v>
      </c>
      <c r="N36" s="10" t="n"/>
      <c r="O36" s="5">
        <f>COUNTIF(P$5:P$29,$A36)</f>
        <v>3</v>
      </c>
      <c r="P36" s="10" t="n"/>
      <c r="Q36" s="7">
        <f>SUM(C36:P36)</f>
        <v>28</v>
      </c>
      <c r="R36" s="10" t="n"/>
      <c r="S36" s="7">
        <f>COUNTIF($S$5:$S$29,$A36)</f>
        <v>2</v>
      </c>
      <c r="T36" s="10" t="n"/>
    </row>
    <row r="37">
      <c r="A37" s="7" t="inlineStr">
        <is>
          <t>B2</t>
        </is>
      </c>
      <c r="B37" s="6" t="inlineStr">
        <is>
          <t>70 to 79 (Very good)</t>
        </is>
      </c>
      <c r="C37" s="5">
        <f>COUNTIF(D$5:D$29,$A37)</f>
        <v>7</v>
      </c>
      <c r="D37" s="10" t="n"/>
      <c r="E37" s="5">
        <f>COUNTIF(F$5:F$29,$A37)</f>
        <v>3</v>
      </c>
      <c r="F37" s="10" t="n"/>
      <c r="G37" s="5">
        <f>COUNTIF(H$5:H$29,$A37)</f>
        <v>2</v>
      </c>
      <c r="H37" s="10" t="n"/>
      <c r="I37" s="5">
        <f>COUNTIF(J$5:J$29,$A37)</f>
        <v>1</v>
      </c>
      <c r="J37" s="10" t="n"/>
      <c r="K37" s="5">
        <f>COUNTIF(L$5:L$29,$A37)</f>
        <v>5</v>
      </c>
      <c r="L37" s="10" t="n"/>
      <c r="M37" s="5">
        <f>COUNTIF(N$5:N$29,$A37)</f>
        <v>3</v>
      </c>
      <c r="N37" s="10" t="n"/>
      <c r="O37" s="5">
        <f>COUNTIF(P$5:P$29,$A37)</f>
        <v>1</v>
      </c>
      <c r="P37" s="10" t="n"/>
      <c r="Q37" s="7">
        <f>SUM(C37:P37)</f>
        <v>22</v>
      </c>
      <c r="R37" s="10" t="n"/>
      <c r="S37" s="7">
        <f>COUNTIF($S$5:$S$29,$A37)</f>
        <v>4</v>
      </c>
      <c r="T37" s="10" t="n"/>
    </row>
    <row r="38">
      <c r="A38" s="7" t="inlineStr">
        <is>
          <t>B3</t>
        </is>
      </c>
      <c r="B38" s="6" t="inlineStr">
        <is>
          <t>66 to 69 (Good)</t>
        </is>
      </c>
      <c r="C38" s="5">
        <f>COUNTIF(D$5:D$29,$A38)</f>
        <v>4</v>
      </c>
      <c r="D38" s="10" t="n"/>
      <c r="E38" s="5">
        <f>COUNTIF(F$5:F$29,$A38)</f>
        <v>4</v>
      </c>
      <c r="F38" s="10" t="n"/>
      <c r="G38" s="5">
        <f>COUNTIF(H$5:H$29,$A38)</f>
        <v>3</v>
      </c>
      <c r="H38" s="10" t="n"/>
      <c r="I38" s="5">
        <f>COUNTIF(J$5:J$29,$A38)</f>
        <v>5</v>
      </c>
      <c r="J38" s="10" t="n"/>
      <c r="K38" s="5">
        <f>COUNTIF(L$5:L$29,$A38)</f>
        <v>1</v>
      </c>
      <c r="L38" s="10" t="n"/>
      <c r="M38" s="5">
        <f>COUNTIF(N$5:N$29,$A38)</f>
        <v>1</v>
      </c>
      <c r="N38" s="10" t="n"/>
      <c r="O38" s="5">
        <f>COUNTIF(P$5:P$29,$A38)</f>
        <v>0</v>
      </c>
      <c r="P38" s="10" t="n"/>
      <c r="Q38" s="7">
        <f>SUM(C38:P38)</f>
        <v>18</v>
      </c>
      <c r="R38" s="10" t="n"/>
      <c r="S38" s="7">
        <f>COUNTIF($S$5:$S$29,$A38)</f>
        <v>2</v>
      </c>
      <c r="T38" s="10" t="n"/>
    </row>
    <row r="39">
      <c r="A39" s="7" t="inlineStr">
        <is>
          <t>C4</t>
        </is>
      </c>
      <c r="B39" s="6" t="inlineStr">
        <is>
          <t>60 to 65 (Credit)</t>
        </is>
      </c>
      <c r="C39" s="5">
        <f>COUNTIF(D$5:D$29,$A39)</f>
        <v>3</v>
      </c>
      <c r="D39" s="10" t="n"/>
      <c r="E39" s="5">
        <f>COUNTIF(F$5:F$29,$A39)</f>
        <v>3</v>
      </c>
      <c r="F39" s="10" t="n"/>
      <c r="G39" s="5">
        <f>COUNTIF(H$5:H$29,$A39)</f>
        <v>6</v>
      </c>
      <c r="H39" s="10" t="n"/>
      <c r="I39" s="5">
        <f>COUNTIF(J$5:J$29,$A39)</f>
        <v>5</v>
      </c>
      <c r="J39" s="10" t="n"/>
      <c r="K39" s="5">
        <f>COUNTIF(L$5:L$29,$A39)</f>
        <v>4</v>
      </c>
      <c r="L39" s="10" t="n"/>
      <c r="M39" s="5">
        <f>COUNTIF(N$5:N$29,$A39)</f>
        <v>3</v>
      </c>
      <c r="N39" s="10" t="n"/>
      <c r="O39" s="5">
        <f>COUNTIF(P$5:P$29,$A39)</f>
        <v>6</v>
      </c>
      <c r="P39" s="10" t="n"/>
      <c r="Q39" s="7">
        <f>SUM(C39:P39)</f>
        <v>30</v>
      </c>
      <c r="R39" s="10" t="n"/>
      <c r="S39" s="7">
        <f>COUNTIF($S$5:$S$29,$A39)</f>
        <v>4</v>
      </c>
      <c r="T39" s="10" t="n"/>
    </row>
    <row r="40">
      <c r="A40" s="7" t="inlineStr">
        <is>
          <t>C5</t>
        </is>
      </c>
      <c r="B40" s="6" t="inlineStr">
        <is>
          <t>56 to 59 (Credit)</t>
        </is>
      </c>
      <c r="C40" s="5">
        <f>COUNTIF(D$5:D$29,$A40)</f>
        <v>0</v>
      </c>
      <c r="D40" s="10" t="n"/>
      <c r="E40" s="5">
        <f>COUNTIF(F$5:F$29,$A40)</f>
        <v>2</v>
      </c>
      <c r="F40" s="10" t="n"/>
      <c r="G40" s="5">
        <f>COUNTIF(H$5:H$29,$A40)</f>
        <v>3</v>
      </c>
      <c r="H40" s="10" t="n"/>
      <c r="I40" s="5">
        <f>COUNTIF(J$5:J$29,$A40)</f>
        <v>2</v>
      </c>
      <c r="J40" s="10" t="n"/>
      <c r="K40" s="5">
        <f>COUNTIF(L$5:L$29,$A40)</f>
        <v>1</v>
      </c>
      <c r="L40" s="10" t="n"/>
      <c r="M40" s="5">
        <f>COUNTIF(N$5:N$29,$A40)</f>
        <v>3</v>
      </c>
      <c r="N40" s="10" t="n"/>
      <c r="O40" s="5">
        <f>COUNTIF(P$5:P$29,$A40)</f>
        <v>2</v>
      </c>
      <c r="P40" s="10" t="n"/>
      <c r="Q40" s="7">
        <f>SUM(C40:P40)</f>
        <v>13</v>
      </c>
      <c r="R40" s="10" t="n"/>
      <c r="S40" s="7">
        <f>COUNTIF($S$5:$S$29,$A40)</f>
        <v>5</v>
      </c>
      <c r="T40" s="10" t="n"/>
    </row>
    <row r="41">
      <c r="A41" s="7" t="inlineStr">
        <is>
          <t>C6</t>
        </is>
      </c>
      <c r="B41" s="6" t="inlineStr">
        <is>
          <t>50 to 55 (Credit)</t>
        </is>
      </c>
      <c r="C41" s="5">
        <f>COUNTIF(D$5:D$29,$A41)</f>
        <v>2</v>
      </c>
      <c r="D41" s="10" t="n"/>
      <c r="E41" s="5">
        <f>COUNTIF(F$5:F$29,$A41)</f>
        <v>2</v>
      </c>
      <c r="F41" s="10" t="n"/>
      <c r="G41" s="5">
        <f>COUNTIF(H$5:H$29,$A41)</f>
        <v>5</v>
      </c>
      <c r="H41" s="10" t="n"/>
      <c r="I41" s="5">
        <f>COUNTIF(J$5:J$29,$A41)</f>
        <v>4</v>
      </c>
      <c r="J41" s="10" t="n"/>
      <c r="K41" s="5">
        <f>COUNTIF(L$5:L$29,$A41)</f>
        <v>4</v>
      </c>
      <c r="L41" s="10" t="n"/>
      <c r="M41" s="5">
        <f>COUNTIF(N$5:N$29,$A41)</f>
        <v>3</v>
      </c>
      <c r="N41" s="10" t="n"/>
      <c r="O41" s="5">
        <f>COUNTIF(P$5:P$29,$A41)</f>
        <v>4</v>
      </c>
      <c r="P41" s="10" t="n"/>
      <c r="Q41" s="7">
        <f>SUM(C41:P41)</f>
        <v>24</v>
      </c>
      <c r="R41" s="10" t="n"/>
      <c r="S41" s="7">
        <f>COUNTIF($S$5:$S$29,$A41)</f>
        <v>3</v>
      </c>
      <c r="T41" s="10" t="n"/>
    </row>
    <row r="42">
      <c r="A42" s="7" t="inlineStr">
        <is>
          <t>D7</t>
        </is>
      </c>
      <c r="B42" s="6" t="inlineStr">
        <is>
          <t>46 to 49 (Pass)</t>
        </is>
      </c>
      <c r="C42" s="5">
        <f>COUNTIF(D$5:D$29,$A42)</f>
        <v>1</v>
      </c>
      <c r="D42" s="10" t="n"/>
      <c r="E42" s="5">
        <f>COUNTIF(F$5:F$29,$A42)</f>
        <v>1</v>
      </c>
      <c r="F42" s="10" t="n"/>
      <c r="G42" s="5">
        <f>COUNTIF(H$5:H$29,$A42)</f>
        <v>0</v>
      </c>
      <c r="H42" s="10" t="n"/>
      <c r="I42" s="5">
        <f>COUNTIF(J$5:J$29,$A42)</f>
        <v>1</v>
      </c>
      <c r="J42" s="10" t="n"/>
      <c r="K42" s="5">
        <f>COUNTIF(L$5:L$29,$A42)</f>
        <v>2</v>
      </c>
      <c r="L42" s="10" t="n"/>
      <c r="M42" s="5">
        <f>COUNTIF(N$5:N$29,$A42)</f>
        <v>0</v>
      </c>
      <c r="N42" s="10" t="n"/>
      <c r="O42" s="5">
        <f>COUNTIF(P$5:P$29,$A42)</f>
        <v>1</v>
      </c>
      <c r="P42" s="10" t="n"/>
      <c r="Q42" s="7">
        <f>SUM(C42:P42)</f>
        <v>6</v>
      </c>
      <c r="R42" s="10" t="n"/>
      <c r="S42" s="7">
        <f>COUNTIF($S$5:$S$29,$A42)</f>
        <v>1</v>
      </c>
      <c r="T42" s="10" t="n"/>
    </row>
    <row r="43">
      <c r="A43" s="7" t="inlineStr">
        <is>
          <t>E8</t>
        </is>
      </c>
      <c r="B43" s="6" t="inlineStr">
        <is>
          <t>40 to 45 (Pass)</t>
        </is>
      </c>
      <c r="C43" s="5">
        <f>COUNTIF(D$5:D$29,$A43)</f>
        <v>1</v>
      </c>
      <c r="D43" s="10" t="n"/>
      <c r="E43" s="5">
        <f>COUNTIF(F$5:F$29,$A43)</f>
        <v>1</v>
      </c>
      <c r="F43" s="10" t="n"/>
      <c r="G43" s="5">
        <f>COUNTIF(H$5:H$29,$A43)</f>
        <v>2</v>
      </c>
      <c r="H43" s="10" t="n"/>
      <c r="I43" s="5">
        <f>COUNTIF(J$5:J$29,$A43)</f>
        <v>2</v>
      </c>
      <c r="J43" s="10" t="n"/>
      <c r="K43" s="5">
        <f>COUNTIF(L$5:L$29,$A43)</f>
        <v>3</v>
      </c>
      <c r="L43" s="10" t="n"/>
      <c r="M43" s="5">
        <f>COUNTIF(N$5:N$29,$A43)</f>
        <v>6</v>
      </c>
      <c r="N43" s="10" t="n"/>
      <c r="O43" s="5">
        <f>COUNTIF(P$5:P$29,$A43)</f>
        <v>1</v>
      </c>
      <c r="P43" s="10" t="n"/>
      <c r="Q43" s="7">
        <f>SUM(C43:P43)</f>
        <v>16</v>
      </c>
      <c r="R43" s="10" t="n"/>
      <c r="S43" s="7">
        <f>COUNTIF($S$5:$S$29,$A43)</f>
        <v>3</v>
      </c>
      <c r="T43" s="10" t="n"/>
    </row>
    <row r="44">
      <c r="A44" s="7" t="inlineStr">
        <is>
          <t>F9</t>
        </is>
      </c>
      <c r="B44" s="6" t="inlineStr">
        <is>
          <t>0 to 39 (Fail)</t>
        </is>
      </c>
      <c r="C44" s="5">
        <f>COUNTIF(D$5:D$29,$A44)</f>
        <v>1</v>
      </c>
      <c r="D44" s="10" t="n"/>
      <c r="E44" s="5">
        <f>COUNTIF(F$5:F$29,$A44)</f>
        <v>0</v>
      </c>
      <c r="F44" s="10" t="n"/>
      <c r="G44" s="5">
        <f>COUNTIF(H$5:H$29,$A44)</f>
        <v>1</v>
      </c>
      <c r="H44" s="10" t="n"/>
      <c r="I44" s="5">
        <f>COUNTIF(J$5:J$29,$A44)</f>
        <v>3</v>
      </c>
      <c r="J44" s="10" t="n"/>
      <c r="K44" s="5">
        <f>COUNTIF(L$5:L$29,$A44)</f>
        <v>4</v>
      </c>
      <c r="L44" s="10" t="n"/>
      <c r="M44" s="5">
        <f>COUNTIF(N$5:N$29,$A44)</f>
        <v>2</v>
      </c>
      <c r="N44" s="10" t="n"/>
      <c r="O44" s="5">
        <f>COUNTIF(P$5:P$29,$A44)</f>
        <v>7</v>
      </c>
      <c r="P44" s="10" t="n"/>
      <c r="Q44" s="7">
        <f>SUM(C44:P44)</f>
        <v>18</v>
      </c>
      <c r="R44" s="10" t="n"/>
      <c r="S44" s="7">
        <f>COUNTIF($S$5:$S$29,$A44)</f>
        <v>1</v>
      </c>
      <c r="T44" s="10" t="n"/>
    </row>
    <row r="45">
      <c r="A45" s="9" t="inlineStr">
        <is>
          <t>Number of students</t>
        </is>
      </c>
      <c r="B45" s="10" t="n"/>
      <c r="C45" s="7">
        <f>SUM(C36:C44)</f>
        <v>25</v>
      </c>
      <c r="D45" s="10" t="n"/>
      <c r="E45" s="7">
        <f>SUM(E36:E44)</f>
        <v>25</v>
      </c>
      <c r="F45" s="10" t="n"/>
      <c r="G45" s="7">
        <f>SUM(G36:G44)</f>
        <v>25</v>
      </c>
      <c r="H45" s="10" t="n"/>
      <c r="I45" s="7">
        <f>SUM(I36:I44)</f>
        <v>25</v>
      </c>
      <c r="J45" s="10" t="n"/>
      <c r="K45" s="7">
        <f>SUM(K36:K44)</f>
        <v>25</v>
      </c>
      <c r="L45" s="10" t="n"/>
      <c r="M45" s="7">
        <f>SUM(M36:M44)</f>
        <v>25</v>
      </c>
      <c r="N45" s="10" t="n"/>
      <c r="O45" s="7">
        <f>SUM(O36:O44)</f>
        <v>25</v>
      </c>
      <c r="P45" s="10" t="n"/>
      <c r="Q45" s="7">
        <f>SUM(Q36:Q44)</f>
        <v>175</v>
      </c>
      <c r="R45" s="10" t="n"/>
      <c r="S45" s="7">
        <f>SUM(S36:S44)</f>
        <v>25</v>
      </c>
      <c r="T45" s="10" t="n"/>
    </row>
  </sheetData>
  <mergeCells count="119">
    <mergeCell ref="M43:N43"/>
    <mergeCell ref="K35:L35"/>
    <mergeCell ref="M35:N35"/>
    <mergeCell ref="C41:D41"/>
    <mergeCell ref="O41:P41"/>
    <mergeCell ref="O35:P35"/>
    <mergeCell ref="Q35:R35"/>
    <mergeCell ref="C43:D43"/>
    <mergeCell ref="O43:P43"/>
    <mergeCell ref="I42:J42"/>
    <mergeCell ref="K42:L42"/>
    <mergeCell ref="O40:P40"/>
    <mergeCell ref="C36:D36"/>
    <mergeCell ref="M36:N36"/>
    <mergeCell ref="E36:F36"/>
    <mergeCell ref="A2:T2"/>
    <mergeCell ref="M45:N45"/>
    <mergeCell ref="I44:J44"/>
    <mergeCell ref="S35:T35"/>
    <mergeCell ref="Q3:Q4"/>
    <mergeCell ref="S3:S4"/>
    <mergeCell ref="K37:L37"/>
    <mergeCell ref="G44:H44"/>
    <mergeCell ref="C3:D3"/>
    <mergeCell ref="E3:F3"/>
    <mergeCell ref="O3:P3"/>
    <mergeCell ref="A30:B30"/>
    <mergeCell ref="B3:B4"/>
    <mergeCell ref="Q37:R37"/>
    <mergeCell ref="M44:N44"/>
    <mergeCell ref="A45:B45"/>
    <mergeCell ref="C45:D45"/>
    <mergeCell ref="O45:P45"/>
    <mergeCell ref="Q39:R39"/>
    <mergeCell ref="S39:T39"/>
    <mergeCell ref="E38:F38"/>
    <mergeCell ref="G38:H38"/>
    <mergeCell ref="Q38:R38"/>
    <mergeCell ref="I41:J41"/>
    <mergeCell ref="S38:T38"/>
    <mergeCell ref="K41:L41"/>
    <mergeCell ref="O44:P44"/>
    <mergeCell ref="C40:D40"/>
    <mergeCell ref="E40:F40"/>
    <mergeCell ref="Q40:R40"/>
    <mergeCell ref="I43:J43"/>
    <mergeCell ref="S40:T40"/>
    <mergeCell ref="K43:L43"/>
    <mergeCell ref="T3:T4"/>
    <mergeCell ref="M41:N41"/>
    <mergeCell ref="O37:P37"/>
    <mergeCell ref="G35:H35"/>
    <mergeCell ref="I35:J35"/>
    <mergeCell ref="K3:L3"/>
    <mergeCell ref="A34:T34"/>
    <mergeCell ref="G42:H42"/>
    <mergeCell ref="Q42:R42"/>
    <mergeCell ref="I45:J45"/>
    <mergeCell ref="S42:T42"/>
    <mergeCell ref="K45:L45"/>
    <mergeCell ref="M39:N39"/>
    <mergeCell ref="E39:F39"/>
    <mergeCell ref="O39:P39"/>
    <mergeCell ref="O36:P36"/>
    <mergeCell ref="G39:H39"/>
    <mergeCell ref="A1:T1"/>
    <mergeCell ref="E44:F44"/>
    <mergeCell ref="K44:L44"/>
    <mergeCell ref="G37:H37"/>
    <mergeCell ref="C44:D44"/>
    <mergeCell ref="I37:J37"/>
    <mergeCell ref="S37:T37"/>
    <mergeCell ref="K40:L40"/>
    <mergeCell ref="M40:N40"/>
    <mergeCell ref="M37:N37"/>
    <mergeCell ref="R3:R4"/>
    <mergeCell ref="A32:B32"/>
    <mergeCell ref="C38:D38"/>
    <mergeCell ref="Q45:R45"/>
    <mergeCell ref="M38:N38"/>
    <mergeCell ref="E41:F41"/>
    <mergeCell ref="O38:P38"/>
    <mergeCell ref="G41:H41"/>
    <mergeCell ref="Q41:R41"/>
    <mergeCell ref="S41:T41"/>
    <mergeCell ref="E43:F43"/>
    <mergeCell ref="G43:H43"/>
    <mergeCell ref="Q43:R43"/>
    <mergeCell ref="S43:T43"/>
    <mergeCell ref="C42:D42"/>
    <mergeCell ref="E42:F42"/>
    <mergeCell ref="G36:H36"/>
    <mergeCell ref="I36:J36"/>
    <mergeCell ref="K36:L36"/>
    <mergeCell ref="C35:D35"/>
    <mergeCell ref="E35:F35"/>
    <mergeCell ref="A3:A4"/>
    <mergeCell ref="G3:H3"/>
    <mergeCell ref="I3:J3"/>
    <mergeCell ref="M42:N42"/>
    <mergeCell ref="Q44:R44"/>
    <mergeCell ref="E45:F45"/>
    <mergeCell ref="O42:P42"/>
    <mergeCell ref="G45:H45"/>
    <mergeCell ref="M3:N3"/>
    <mergeCell ref="Q36:R36"/>
    <mergeCell ref="I39:J39"/>
    <mergeCell ref="S36:T36"/>
    <mergeCell ref="K39:L39"/>
    <mergeCell ref="C39:D39"/>
    <mergeCell ref="S45:T45"/>
    <mergeCell ref="I38:J38"/>
    <mergeCell ref="K38:L38"/>
    <mergeCell ref="C37:D37"/>
    <mergeCell ref="E37:F37"/>
    <mergeCell ref="S44:T44"/>
    <mergeCell ref="G40:H40"/>
    <mergeCell ref="A31:B31"/>
    <mergeCell ref="I40:J40"/>
  </mergeCells>
  <conditionalFormatting sqref="D5:D29 F5:F29 H5:H29 J5:J29 L5:L29 N5:N29 P5:P29 S5:S29">
    <cfRule type="cellIs" priority="1" operator="equal" dxfId="0">
      <formula>"F9"</formula>
    </cfRule>
  </conditionalFormatting>
  <dataValidations count="1">
    <dataValidation sqref="C5:C29 E5:E29 G5:G29 I5:I29 K5:K29 M5:M29 O5:O29" showDropDown="0" showInputMessage="0" showErrorMessage="1" allowBlank="1" errorTitle="Score" error="Type a whole number from 0 to 100." type="whole" operator="between">
      <formula1>0</formula1>
      <formula2>100</formula2>
    </dataValidation>
  </dataValidations>
  <printOptions horizontalCentered="1"/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Test Results</dc:title>
  <dc:subject xmlns:dc="http://purl.org/dc/elements/1.1/">Test results of 25 students in 7 subjects, with the grade of each subject</dc:subject>
  <dcterms:created xmlns:dcterms="http://purl.org/dc/terms/" xmlns:xsi="http://www.w3.org/2001/XMLSchema-instance" xsi:type="dcterms:W3CDTF">2026-10-04T17:54:41Z</dcterms:created>
  <dcterms:modified xmlns:dcterms="http://purl.org/dc/terms/" xmlns:xsi="http://www.w3.org/2001/XMLSchema-instance" xsi:type="dcterms:W3CDTF">2026-10-04T17:54:41Z</dcterms:modified>
  <cp:lastModifiedBy/>
</cp:coreProperties>
</file>