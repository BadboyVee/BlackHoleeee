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ive Inter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rgb="00000000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i val="1"/>
      <color rgb="00000000"/>
      <sz val="11"/>
      <scheme val="minor"/>
    </font>
    <font>
      <name val="Calibri"/>
      <family val="2"/>
      <i val="1"/>
      <color rgb="00595959"/>
      <sz val="9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0000000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1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indent="1"/>
    </xf>
    <xf numFmtId="0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center" vertical="center"/>
    </xf>
    <xf numFmtId="9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400" b="0">
                <a:solidFill>
                  <a:srgbClr val="595959"/>
                </a:solidFill>
                <a:latin typeface="+mn-lt"/>
              </a:defRPr>
            </a:pPr>
            <a:r>
              <a:rPr sz="1400" b="0">
                <a:solidFill>
                  <a:srgbClr val="595959"/>
                </a:solidFill>
                <a:latin typeface="+mn-lt"/>
              </a:rPr>
              <a:t>Relative Interest by Programme</a:t>
            </a:r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09"/>
          <y val="0.21"/>
          <w val="0.41"/>
          <h val="0.7"/>
        </manualLayout>
      </layout>
      <pieChart>
        <varyColors val="1"/>
        <ser>
          <idx val="0"/>
          <order val="0"/>
          <tx>
            <strRef>
              <f>'Relative Interest'!B4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62626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A6A6A6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595959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D9D9D9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7F7F7F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cat>
            <numRef>
              <f>'Relative Interest'!$A$5:$A$9</f>
            </numRef>
          </cat>
          <val>
            <numRef>
              <f>'Relative Interest'!$B$5:$B$9</f>
            </numRef>
          </val>
        </ser>
        <dLbls>
          <txPr>
            <a:bodyPr xmlns:a="http://schemas.openxmlformats.org/drawingml/2006/main"/>
            <a:p xmlns:a="http://schemas.openxmlformats.org/drawingml/2006/main">
              <a:pPr>
                <a:defRPr sz="1100" b="1">
                  <a:solidFill>
                    <a:srgbClr val="000000"/>
                  </a:solidFill>
                  <a:latin typeface="+mn-lt"/>
                </a:defRPr>
              </a:pPr>
              <a:r>
                <a:t/>
              </a:r>
              <a:endParaRPr sz="1100" b="1">
                <a:solidFill>
                  <a:srgbClr val="000000"/>
                </a:solidFill>
                <a:latin typeface="+mn-lt"/>
              </a:endParaRPr>
            </a:p>
          </txPr>
          <dLblPos val="outEnd"/>
          <showLegendKey val="0"/>
          <showVal val="0"/>
          <showCatName val="0"/>
          <showSerName val="0"/>
          <showPercent val="1"/>
          <showLeaderLines val="1"/>
        </dLbls>
        <firstSliceAng val="0"/>
      </pieChart>
    </plotArea>
    <legend>
      <legendPos val="r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595959"/>
              </a:solidFill>
              <a:latin typeface="+mn-lt"/>
            </a:defRPr>
          </a:pPr>
          <a:r>
            <a:t/>
          </a:r>
          <a:endParaRPr sz="1000" b="0">
            <a:solidFill>
              <a:srgbClr val="595959"/>
            </a:solidFill>
            <a:latin typeface="+mn-lt"/>
          </a:endParaRPr>
        </a:p>
      </txPr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594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15" customWidth="1" min="4" max="4"/>
  </cols>
  <sheetData>
    <row r="1" ht="21" customHeight="1">
      <c r="A1" s="1" t="inlineStr">
        <is>
          <t>RELATIVE-INTEREST OBSERVATIONS</t>
        </is>
      </c>
    </row>
    <row r="2">
      <c r="A2" s="2" t="inlineStr">
        <is>
          <t>Average interest in each programme, from 0 to 100 (read off the chart, so approximate).</t>
        </is>
      </c>
    </row>
    <row r="3">
      <c r="A3" s="3" t="inlineStr">
        <is>
          <t>Source: Google Trends, Nigeria, past 12 months (28 September 2025 to 28 September 2026).</t>
        </is>
      </c>
    </row>
    <row r="4" ht="20" customHeight="1">
      <c r="A4" s="4" t="inlineStr">
        <is>
          <t>Programme</t>
        </is>
      </c>
      <c r="B4" s="4" t="inlineStr">
        <is>
          <t>Average score</t>
        </is>
      </c>
      <c r="C4" s="4" t="inlineStr">
        <is>
          <t>Rank</t>
        </is>
      </c>
      <c r="D4" s="4" t="inlineStr">
        <is>
          <t>Share of total</t>
        </is>
      </c>
    </row>
    <row r="5">
      <c r="A5" s="5" t="inlineStr">
        <is>
          <t>Cybersecurity</t>
        </is>
      </c>
      <c r="B5" s="6" t="n">
        <v>43</v>
      </c>
      <c r="C5" s="6">
        <f>RANK(B5,$B$5:$B$9)</f>
        <v>1</v>
      </c>
      <c r="D5" s="7">
        <f>B5/$B$10</f>
        <v>0.358333333333333</v>
      </c>
    </row>
    <row r="6">
      <c r="A6" s="5" t="inlineStr">
        <is>
          <t>Digital Marketing</t>
        </is>
      </c>
      <c r="B6" s="6" t="n">
        <v>33</v>
      </c>
      <c r="C6" s="6">
        <f>RANK(B6,$B$5:$B$9)</f>
        <v>2</v>
      </c>
      <c r="D6" s="7">
        <f>B6/$B$10</f>
        <v>0.275</v>
      </c>
    </row>
    <row r="7">
      <c r="A7" s="5" t="inlineStr">
        <is>
          <t>Data Analytics</t>
        </is>
      </c>
      <c r="B7" s="6" t="n">
        <v>18</v>
      </c>
      <c r="C7" s="6">
        <f>RANK(B7,$B$5:$B$9)</f>
        <v>3</v>
      </c>
      <c r="D7" s="7">
        <f>B7/$B$10</f>
        <v>0.15</v>
      </c>
    </row>
    <row r="8">
      <c r="A8" s="5" t="inlineStr">
        <is>
          <t>Generative AI &amp; Prompt Engineering</t>
        </is>
      </c>
      <c r="B8" s="6" t="n">
        <v>13</v>
      </c>
      <c r="C8" s="6">
        <f>RANK(B8,$B$5:$B$9)</f>
        <v>4</v>
      </c>
      <c r="D8" s="7">
        <f>B8/$B$10</f>
        <v>0.108333333333333</v>
      </c>
    </row>
    <row r="9">
      <c r="A9" s="5" t="inlineStr">
        <is>
          <t>Web Development</t>
        </is>
      </c>
      <c r="B9" s="6" t="n">
        <v>13</v>
      </c>
      <c r="C9" s="6">
        <f>RANK(B9,$B$5:$B$9)</f>
        <v>4</v>
      </c>
      <c r="D9" s="7">
        <f>B9/$B$10</f>
        <v>0.108333333333333</v>
      </c>
    </row>
    <row r="10">
      <c r="A10" s="8" t="inlineStr">
        <is>
          <t>Total</t>
        </is>
      </c>
      <c r="B10" s="9">
        <f>SUM(B5:B9)</f>
        <v>120</v>
      </c>
      <c r="C10" s="6" t="n"/>
      <c r="D10" s="10">
        <f>SUM(D5:D9)</f>
        <v>1</v>
      </c>
    </row>
  </sheetData>
  <mergeCells count="3">
    <mergeCell ref="A1:D1"/>
    <mergeCell ref="A3:D3"/>
    <mergeCell ref="A2:D2"/>
  </mergeCells>
  <printOptions horizontalCentered="1"/>
  <pageMargins left="0.7" right="0.7" top="0.75" bottom="0.75" header="0.3" footer="0.3"/>
  <pageSetup orientation="portrait" paperSize="9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Relative-Interest Observations</dc:title>
  <dc:subject xmlns:dc="http://purl.org/dc/elements/1.1/">Relative-interest observations from Google Trends, with a pie chart</dc:subject>
  <dcterms:created xmlns:dcterms="http://purl.org/dc/terms/" xmlns:xsi="http://www.w3.org/2001/XMLSchema-instance" xsi:type="dcterms:W3CDTF">2026-10-04T22:11:22Z</dcterms:created>
  <dcterms:modified xmlns:dcterms="http://purl.org/dc/terms/" xmlns:xsi="http://www.w3.org/2001/XMLSchema-instance" xsi:type="dcterms:W3CDTF">2026-10-04T22:11:22Z</dcterms:modified>
  <cp:lastModifiedBy/>
</cp:coreProperties>
</file>