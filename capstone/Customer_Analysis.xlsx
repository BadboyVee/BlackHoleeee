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ersona" sheetId="1" state="visible" r:id="rId1"/>
    <sheet xmlns:r="http://schemas.openxmlformats.org/officeDocument/2006/relationships" name="2 Journey Map" sheetId="2" state="visible" r:id="rId2"/>
    <sheet xmlns:r="http://schemas.openxmlformats.org/officeDocument/2006/relationships" name="3 Customer Needs" sheetId="3" state="visible" r:id="rId3"/>
    <sheet xmlns:r="http://schemas.openxmlformats.org/officeDocument/2006/relationships" name="4 Segments" sheetId="4" state="visible" r:id="rId4"/>
    <sheet xmlns:r="http://schemas.openxmlformats.org/officeDocument/2006/relationships" name="5-6 Segment Scores" sheetId="5" state="visible" r:id="rId5"/>
    <sheet xmlns:r="http://schemas.openxmlformats.org/officeDocument/2006/relationships" name="World Data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rgb="00000000"/>
      <sz val="11"/>
      <scheme val="minor"/>
    </font>
    <font>
      <name val="Calibri"/>
      <family val="2"/>
      <b val="1"/>
      <color rgb="00202124"/>
      <sz val="14"/>
      <scheme val="minor"/>
    </font>
    <font>
      <name val="Calibri"/>
      <family val="2"/>
      <i val="1"/>
      <color rgb="00404040"/>
      <sz val="11"/>
      <scheme val="minor"/>
    </font>
    <font>
      <name val="Calibri"/>
      <family val="2"/>
      <b val="1"/>
      <color rgb="00FFFFFF"/>
      <sz val="11"/>
      <scheme val="minor"/>
    </font>
    <font>
      <name val="Calibri"/>
      <family val="2"/>
      <b val="1"/>
      <color rgb="00000000"/>
      <sz val="11"/>
      <scheme val="minor"/>
    </font>
    <font>
      <name val="Calibri"/>
      <family val="2"/>
      <b val="1"/>
      <color rgb="00202124"/>
      <sz val="12"/>
      <scheme val="minor"/>
    </font>
    <font>
      <name val="Calibri"/>
      <family val="2"/>
      <i val="1"/>
      <color rgb="00000000"/>
      <sz val="11"/>
      <scheme val="minor"/>
    </font>
    <font>
      <name val="Calibri"/>
      <family val="2"/>
      <b val="1"/>
      <color rgb="00000000"/>
      <sz val="12"/>
      <scheme val="minor"/>
    </font>
    <font>
      <name val="Calibri"/>
      <family val="2"/>
      <color rgb="008A610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0020212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3" fontId="0" fillId="3" borderId="1" applyAlignment="1" pivotButton="0" quotePrefix="0" xfId="0">
      <alignment horizontal="right" vertical="center" wrapText="1"/>
    </xf>
    <xf numFmtId="1" fontId="0" fillId="3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9" fontId="4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How Tunde Feels at Each Stage</a:t>
            </a:r>
          </a:p>
        </rich>
      </tx>
      <overlay val="0"/>
    </title>
    <plotArea>
      <lineChart>
        <grouping val="standard"/>
        <ser>
          <idx val="0"/>
          <order val="0"/>
          <spPr>
            <a:ln xmlns:a="http://schemas.openxmlformats.org/drawingml/2006/main" w="31750">
              <a:solidFill>
                <a:srgbClr val="F2A900"/>
              </a:solidFill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202124"/>
              </a:solidFill>
              <a:ln xmlns:a="http://schemas.openxmlformats.org/drawingml/2006/main">
                <a:solidFill>
                  <a:srgbClr val="202124"/>
                </a:solidFill>
                <a:prstDash val="solid"/>
              </a:ln>
            </spPr>
          </marker>
          <cat>
            <numRef>
              <f>'2 Journey Map'!$B$4:$F$4</f>
            </numRef>
          </cat>
          <val>
            <numRef>
              <f>'2 Journey Map'!$B$10:$F$10</f>
            </numRef>
          </val>
          <smooth val="0"/>
        </ser>
        <dLbls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t"/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1"/>
        <axPos val="l"/>
        <majorTickMark val="none"/>
        <minorTickMark val="none"/>
        <crossAx val="10"/>
        <majorUnit val="1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Importance of Each Need (of 25)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8C8C4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F2A9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2A9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2A9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2A9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2A900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'3 Customer Needs'!$A$35:$A$46</f>
            </numRef>
          </cat>
          <val>
            <numRef>
              <f>'3 Customer Needs'!$B$35:$B$46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25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300" b="0">
                <a:solidFill>
                  <a:srgbClr val="404040"/>
                </a:solidFill>
                <a:latin typeface="+mn-lt"/>
              </a:defRPr>
            </a:pPr>
            <a:r>
              <a:rPr sz="1300" b="0">
                <a:solidFill>
                  <a:srgbClr val="404040"/>
                </a:solidFill>
                <a:latin typeface="+mn-lt"/>
              </a:rPr>
              <a:t>Weighted Score of Each Segment (of 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8C8C4"/>
            </a:solidFill>
            <a:ln xmlns:a="http://schemas.openxmlformats.org/drawingml/2006/main">
              <a:noFill/>
              <a:prstDash val="solid"/>
            </a:ln>
          </spPr>
          <dPt>
            <idx val="1"/>
            <spPr>
              <a:solidFill xmlns:a="http://schemas.openxmlformats.org/drawingml/2006/main">
                <a:srgbClr val="F2A900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'5-6 Segment Scores'!$A$6:$A$9</f>
            </numRef>
          </cat>
          <val>
            <numRef>
              <f>'5-6 Segment Scores'!$F$6:$F$9</f>
            </numRef>
          </val>
        </ser>
        <dLbls>
          <numFmt formatCode="0.00"/>
          <txPr>
            <a:bodyPr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262626"/>
                  </a:solidFill>
                  <a:latin typeface="+mn-lt"/>
                </a:defRPr>
              </a:pPr>
              <a:r>
                <a:t/>
              </a:r>
              <a:endParaRPr sz="1000" b="1">
                <a:solidFill>
                  <a:srgbClr val="262626"/>
                </a:solidFill>
                <a:latin typeface="+mn-lt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404040"/>
                </a:solidFill>
                <a:latin typeface="+mn-lt"/>
              </a:defRPr>
            </a:pPr>
            <a:r>
              <a:t/>
            </a:r>
            <a:endParaRPr sz="1000" b="0">
              <a:solidFill>
                <a:srgbClr val="404040"/>
              </a:solidFill>
              <a:latin typeface="+mn-lt"/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47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mwanaspoti.co.tz/bd/corporate/technology/future-of-labour-tech-skills-driving-jobs-growth-in-2025-4886646" TargetMode="External" Id="rId1"/><Relationship Type="http://schemas.openxmlformats.org/officeDocument/2006/relationships/hyperlink" Target="https://www.isc2.org/Insights/2025/12/2025-ISC2-Cybersecurity-Workforce-Study" TargetMode="External" Id="rId2"/><Relationship Type="http://schemas.openxmlformats.org/officeDocument/2006/relationships/hyperlink" Target="https://www.isc2.org/insights/2025/03/women-comprise-22-percent-of-the-cybersecurity-workforce" TargetMode="External" Id="rId3"/><Relationship Type="http://schemas.openxmlformats.org/officeDocument/2006/relationships/hyperlink" Target="https://www.thecable.ng/?p=271369" TargetMode="External" Id="rId4"/><Relationship Type="http://schemas.openxmlformats.org/officeDocument/2006/relationships/hyperlink" Target="https://playroll.com/minimum-wage/nigeria" TargetMode="External" Id="rId5"/><Relationship Type="http://schemas.openxmlformats.org/officeDocument/2006/relationships/hyperlink" Target="https://georank.org/demographics/nigeria/norway" TargetMode="External" Id="rId6"/><Relationship Type="http://schemas.openxmlformats.org/officeDocument/2006/relationships/hyperlink" Target="https://trends.google.com/trends/" TargetMode="External" Id="rId7"/><Relationship Type="http://schemas.openxmlformats.org/officeDocument/2006/relationships/hyperlink" Target="https://datareportal.com/reports/digital-2026-nigeria" TargetMode="External" Id="rId8"/><Relationship Type="http://schemas.openxmlformats.org/officeDocument/2006/relationships/hyperlink" Target="https://stats.napoleoncat.com/social-media-users-in-nigeria/2026/" TargetMode="External" Id="rId9"/><Relationship Type="http://schemas.openxmlformats.org/officeDocument/2006/relationships/hyperlink" Target="https://mobility.com.ng/?p=397570" TargetMode="External" Id="rId10"/><Relationship Type="http://schemas.openxmlformats.org/officeDocument/2006/relationships/hyperlink" Target="https://www.mordorintelligence.com/industry-reports/nigeria-cybersecurity-market" TargetMode="External" Id="rId11"/><Relationship Type="http://schemas.openxmlformats.org/officeDocument/2006/relationships/hyperlink" Target="https://www.securityblue.team/blog/posts/cybergirls-success-empowering-women-in-cybersecurity" TargetMode="External" Id="rId12"/><Relationship Type="http://schemas.openxmlformats.org/officeDocument/2006/relationships/hyperlink" Target="https://techcabal.com/2025/10/29/altschool-africa-cracks-on-the-wall/" TargetMode="External" Id="rId13"/><Relationship Type="http://schemas.openxmlformats.org/officeDocument/2006/relationships/hyperlink" Target="https://techpoint.africa/news/altschool-africa-nano-diploma/" TargetMode="External" Id="rId14"/><Relationship Type="http://schemas.openxmlformats.org/officeDocument/2006/relationships/hyperlink" Target="https://fr.trustpilot.com/review/www.alxafrica.com" TargetMode="External" Id="rId15"/><Relationship Type="http://schemas.openxmlformats.org/officeDocument/2006/relationships/hyperlink" Target="https://www.trustpilot.com/review/tryhackme.com" TargetMode="External" Id="rId16"/><Relationship Type="http://schemas.openxmlformats.org/officeDocument/2006/relationships/hyperlink" Target="https://course.careers/course-reviews/overview-reviews-of-courses" TargetMode="External" Id="rId17"/><Relationship Type="http://schemas.openxmlformats.org/officeDocument/2006/relationships/hyperlink" Target="https://vlearnsecurity.durable.site/pricing" TargetMode="External" Id="rId18"/><Relationship Type="http://schemas.openxmlformats.org/officeDocument/2006/relationships/hyperlink" Target="https://www.isc2.org/Insights/2026/04/one-million-certified-cyber-conclusion" TargetMode="External" Id="rId19"/><Relationship Type="http://schemas.openxmlformats.org/officeDocument/2006/relationships/hyperlink" Target="https://www.profolio.ng/cybersecurity-analyst/how-to-get-a-job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1" customHeight="1">
      <c r="A1" s="1" t="inlineStr">
        <is>
          <t>1. CUSTOMER PERSONA: TUNDE BAKARE</t>
        </is>
      </c>
    </row>
    <row r="2">
      <c r="A2" s="2" t="inlineStr">
        <is>
          <t>A fictional customer from the target segment (Career Switchers), built from the research.</t>
        </is>
      </c>
    </row>
    <row r="4">
      <c r="A4" s="3" t="inlineStr">
        <is>
          <t>Age</t>
        </is>
      </c>
      <c r="B4" s="4" t="inlineStr">
        <is>
          <t>27</t>
        </is>
      </c>
    </row>
    <row r="5">
      <c r="A5" s="3" t="inlineStr">
        <is>
          <t>Lives in</t>
        </is>
      </c>
      <c r="B5" s="4" t="inlineStr">
        <is>
          <t>Ikeja, Lagos</t>
        </is>
      </c>
    </row>
    <row r="6">
      <c r="A6" s="3" t="inlineStr">
        <is>
          <t>Job</t>
        </is>
      </c>
      <c r="B6" s="4" t="inlineStr">
        <is>
          <t>Customer service officer at a phone retailer</t>
        </is>
      </c>
    </row>
    <row r="7">
      <c r="A7" s="3" t="inlineStr">
        <is>
          <t>Education</t>
        </is>
      </c>
      <c r="B7" s="4" t="inlineStr">
        <is>
          <t>HND in Business Administration</t>
        </is>
      </c>
    </row>
    <row r="8">
      <c r="A8" s="3" t="inlineStr">
        <is>
          <t>Money</t>
        </is>
      </c>
      <c r="B8" s="4" t="inlineStr">
        <is>
          <t>Steady pay above the minimum wage; can spare about ₦50,000 a month</t>
        </is>
      </c>
    </row>
    <row r="9">
      <c r="A9" s="3" t="inlineStr">
        <is>
          <t>Devices</t>
        </is>
      </c>
      <c r="B9" s="4" t="inlineStr">
        <is>
          <t>Smartphone and a budget laptop</t>
        </is>
      </c>
    </row>
    <row r="10">
      <c r="A10" s="3" t="inlineStr">
        <is>
          <t>In their words</t>
        </is>
      </c>
      <c r="B10" s="5" t="inlineStr">
        <is>
          <t>“I don't mind paying, if I'm sure it will get me a job.”</t>
        </is>
      </c>
    </row>
    <row r="12" ht="20" customHeight="1">
      <c r="A12" s="6" t="inlineStr">
        <is>
          <t>Goals</t>
        </is>
      </c>
    </row>
    <row r="13">
      <c r="A13" s="4" t="inlineStr">
        <is>
          <t>Move into a cybersecurity job within a year</t>
        </is>
      </c>
      <c r="B13" s="7" t="n"/>
    </row>
    <row r="14">
      <c r="A14" s="4" t="inlineStr">
        <is>
          <t>Earn more: junior analysts earn ₦150,000+ a month</t>
        </is>
      </c>
      <c r="B14" s="7" t="n"/>
    </row>
    <row r="15">
      <c r="A15" s="4" t="inlineStr">
        <is>
          <t>Learn a skill that will not go out of date</t>
        </is>
      </c>
      <c r="B15" s="7" t="n"/>
    </row>
    <row r="17" ht="20" customHeight="1">
      <c r="A17" s="6" t="inlineStr">
        <is>
          <t>Frustrations</t>
        </is>
      </c>
    </row>
    <row r="18">
      <c r="A18" s="4" t="inlineStr">
        <is>
          <t>Does not know where to start</t>
        </is>
      </c>
      <c r="B18" s="7" t="n"/>
    </row>
    <row r="19">
      <c r="A19" s="4" t="inlineStr">
        <is>
          <t>Afraid of paying for a scam course</t>
        </is>
      </c>
      <c r="B19" s="7" t="n"/>
    </row>
    <row r="20">
      <c r="A20" s="4" t="inlineStr">
        <is>
          <t>Works 8 to 5; free programmes are full</t>
        </is>
      </c>
      <c r="B20" s="7" t="n"/>
    </row>
    <row r="22" ht="20" customHeight="1">
      <c r="A22" s="6" t="inlineStr">
        <is>
          <t>Needs</t>
        </is>
      </c>
    </row>
    <row r="23">
      <c r="A23" s="4" t="inlineStr">
        <is>
          <t>Hands-on labs at weekends</t>
        </is>
      </c>
      <c r="B23" s="7" t="n"/>
    </row>
    <row r="24">
      <c r="A24" s="4" t="inlineStr">
        <is>
          <t>A fair price in 3 parts</t>
        </is>
      </c>
      <c r="B24" s="7" t="n"/>
    </row>
    <row r="25">
      <c r="A25" s="4" t="inlineStr">
        <is>
          <t>Help when stuck and a route to a job</t>
        </is>
      </c>
      <c r="B25" s="7" t="n"/>
    </row>
    <row r="27" ht="20" customHeight="1">
      <c r="A27" s="6" t="inlineStr">
        <is>
          <t>Where to reach them</t>
        </is>
      </c>
    </row>
    <row r="28">
      <c r="A28" s="4" t="inlineStr">
        <is>
          <t>Google, YouTube and TikTok</t>
        </is>
      </c>
      <c r="B28" s="7" t="n"/>
    </row>
    <row r="29">
      <c r="A29" s="4" t="inlineStr">
        <is>
          <t>Facebook groups and WhatsApp</t>
        </is>
      </c>
      <c r="B29" s="7" t="n"/>
    </row>
    <row r="30">
      <c r="A30" s="4" t="inlineStr">
        <is>
          <t>LinkedIn for jobs</t>
        </is>
      </c>
      <c r="B30" s="7" t="n"/>
    </row>
    <row r="32" ht="20" customHeight="1">
      <c r="A32" s="6" t="inlineStr">
        <is>
          <t>What makes them buy</t>
        </is>
      </c>
    </row>
    <row r="33">
      <c r="A33" s="4" t="inlineStr">
        <is>
          <t>News of a big data breach, like the CAC breach</t>
        </is>
      </c>
      <c r="B33" s="7" t="n"/>
    </row>
    <row r="34">
      <c r="A34" s="4" t="inlineStr">
        <is>
          <t>A friend who moved into a tech job</t>
        </is>
      </c>
      <c r="B34" s="7" t="n"/>
    </row>
    <row r="35">
      <c r="A35" s="4" t="inlineStr">
        <is>
          <t>A free first class or a deadline to enrol</t>
        </is>
      </c>
      <c r="B35" s="7" t="n"/>
    </row>
    <row r="37" ht="20" customHeight="1">
      <c r="A37" s="6" t="inlineStr">
        <is>
          <t>Objections, and our answer</t>
        </is>
      </c>
    </row>
    <row r="38">
      <c r="A38" s="4" t="inlineStr">
        <is>
          <t>“Is it a scam?”  Real reviews and a free first class</t>
        </is>
      </c>
      <c r="B38" s="7" t="n"/>
    </row>
    <row r="39">
      <c r="A39" s="4" t="inlineStr">
        <is>
          <t>“Can I fit it round work?”  Evenings, weekends and recordings</t>
        </is>
      </c>
      <c r="B39" s="7" t="n"/>
    </row>
    <row r="40">
      <c r="A40" s="4" t="inlineStr">
        <is>
          <t>“Will I get a job?”  Exam prep, CV help, employers</t>
        </is>
      </c>
      <c r="B40" s="7" t="n"/>
    </row>
    <row r="42" ht="20" customHeight="1">
      <c r="A42" s="6" t="inlineStr">
        <is>
          <t>How they choose</t>
        </is>
      </c>
    </row>
    <row r="43">
      <c r="A43" s="4" t="inlineStr">
        <is>
          <t>Hands-on labs and real tools</t>
        </is>
      </c>
      <c r="B43" s="7" t="n"/>
    </row>
    <row r="44">
      <c r="A44" s="4" t="inlineStr">
        <is>
          <t>The full price and a payment plan</t>
        </is>
      </c>
      <c r="B44" s="7" t="n"/>
    </row>
    <row r="45">
      <c r="A45" s="4" t="inlineStr">
        <is>
          <t>Reviews from past learners</t>
        </is>
      </c>
      <c r="B45" s="7" t="n"/>
    </row>
    <row r="46">
      <c r="A46" s="4" t="inlineStr">
        <is>
          <t>A recognised certificate</t>
        </is>
      </c>
      <c r="B46" s="7" t="n"/>
    </row>
    <row r="48" ht="20" customHeight="1">
      <c r="A48" s="6" t="inlineStr">
        <is>
          <t>How they pay</t>
        </is>
      </c>
    </row>
    <row r="49">
      <c r="A49" s="4" t="inlineStr">
        <is>
          <t>₦150,000 in 3 parts of ₦50,000</t>
        </is>
      </c>
      <c r="B49" s="7" t="n"/>
    </row>
    <row r="50">
      <c r="A50" s="4" t="inlineStr">
        <is>
          <t>Pays from salary, a part each month</t>
        </is>
      </c>
      <c r="B50" s="7" t="n"/>
    </row>
    <row r="51">
      <c r="A51" s="4" t="inlineStr">
        <is>
          <t>Decides alone; asks friends on WhatsApp first</t>
        </is>
      </c>
      <c r="B51" s="7" t="n"/>
    </row>
  </sheetData>
  <mergeCells count="35">
    <mergeCell ref="A48:B48"/>
    <mergeCell ref="A24:B24"/>
    <mergeCell ref="A30:B30"/>
    <mergeCell ref="A15:B15"/>
    <mergeCell ref="A49:B49"/>
    <mergeCell ref="A51:B51"/>
    <mergeCell ref="A45:B45"/>
    <mergeCell ref="A1:B1"/>
    <mergeCell ref="A25:B25"/>
    <mergeCell ref="A37:B37"/>
    <mergeCell ref="A46:B46"/>
    <mergeCell ref="A18:B18"/>
    <mergeCell ref="A27:B27"/>
    <mergeCell ref="A12:B12"/>
    <mergeCell ref="A50:B50"/>
    <mergeCell ref="A2:B2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9:B39"/>
    <mergeCell ref="A34:B34"/>
  </mergeCells>
  <pageMargins left="0.5" right="0.5" top="0.6" bottom="0.6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21" customHeight="1">
      <c r="A1" s="1" t="inlineStr">
        <is>
          <t>2. CUSTOMER JOURNEY MAP: TUNDE BAKARE</t>
        </is>
      </c>
    </row>
    <row r="2">
      <c r="A2" s="2" t="inlineStr">
        <is>
          <t>From first hearing about cybersecurity to getting a job. Feeling: 1 (very negative) to 5 (very positive).</t>
        </is>
      </c>
    </row>
    <row r="4" ht="24" customHeight="1">
      <c r="A4" s="8" t="inlineStr">
        <is>
          <t>Stage</t>
        </is>
      </c>
      <c r="B4" s="8" t="inlineStr">
        <is>
          <t>Awareness</t>
        </is>
      </c>
      <c r="C4" s="8" t="inlineStr">
        <is>
          <t>Consideration</t>
        </is>
      </c>
      <c r="D4" s="8" t="inlineStr">
        <is>
          <t>Purchase</t>
        </is>
      </c>
      <c r="E4" s="8" t="inlineStr">
        <is>
          <t>Learning</t>
        </is>
      </c>
      <c r="F4" s="8" t="inlineStr">
        <is>
          <t>After the course</t>
        </is>
      </c>
    </row>
    <row r="5" ht="48" customHeight="1">
      <c r="A5" s="3" t="inlineStr">
        <is>
          <t>Doing</t>
        </is>
      </c>
      <c r="B5" s="4" t="inlineStr">
        <is>
          <t>Sees breach news and a TikTok video on cyber careers</t>
        </is>
      </c>
      <c r="C5" s="4" t="inlineStr">
        <is>
          <t>Compares courses, reads reviews, asks in WhatsApp groups</t>
        </is>
      </c>
      <c r="D5" s="4" t="inlineStr">
        <is>
          <t>Joins the free first class, pays the first part</t>
        </is>
      </c>
      <c r="E5" s="4" t="inlineStr">
        <is>
          <t>Attends classes and weekend labs, takes the exam</t>
        </is>
      </c>
      <c r="F5" s="4" t="inlineStr">
        <is>
          <t>Applies for jobs, shares the result, refers friends</t>
        </is>
      </c>
    </row>
    <row r="6" ht="48" customHeight="1">
      <c r="A6" s="3" t="inlineStr">
        <is>
          <t>Touchpoints</t>
        </is>
      </c>
      <c r="B6" s="4" t="inlineStr">
        <is>
          <t>TikTok, Facebook adverts, Google search</t>
        </is>
      </c>
      <c r="C6" s="4" t="inlineStr">
        <is>
          <t>Website, Google and Trustpilot reviews, WhatsApp</t>
        </is>
      </c>
      <c r="D6" s="4" t="inlineStr">
        <is>
          <t>Free class, online payment plan</t>
        </is>
      </c>
      <c r="E6" s="4" t="inlineStr">
        <is>
          <t>Learning platform, Lagos lab, mentor</t>
        </is>
      </c>
      <c r="F6" s="4" t="inlineStr">
        <is>
          <t>Career help, LinkedIn, alumni group</t>
        </is>
      </c>
    </row>
    <row r="7" ht="48" customHeight="1">
      <c r="A7" s="3" t="inlineStr">
        <is>
          <t>Thinking and feeling</t>
        </is>
      </c>
      <c r="B7" s="4" t="inlineStr">
        <is>
          <t>“Can I do this without IT?” Curious but unsure</t>
        </is>
      </c>
      <c r="C7" s="4" t="inlineStr">
        <is>
          <t>“Is this a scam?” Anxious</t>
        </is>
      </c>
      <c r="D7" s="4" t="inlineStr">
        <is>
          <t>“I hope it's worth it.” Hopeful, nervous</t>
        </is>
      </c>
      <c r="E7" s="4" t="inlineStr">
        <is>
          <t>“Hard, but I'm getting it.” Proud</t>
        </is>
      </c>
      <c r="F7" s="4" t="inlineStr">
        <is>
          <t>“I got the job!” Relieved and proud</t>
        </is>
      </c>
    </row>
    <row r="8" ht="48" customHeight="1">
      <c r="A8" s="3" t="inlineStr">
        <is>
          <t>Pain points</t>
        </is>
      </c>
      <c r="B8" s="4" t="inlineStr">
        <is>
          <t>No clear starting point</t>
        </is>
      </c>
      <c r="C8" s="4" t="inlineStr">
        <is>
          <t>Hidden prices, few reviews</t>
        </is>
      </c>
      <c r="D8" s="4" t="inlineStr">
        <is>
          <t>Big one-off fees</t>
        </is>
      </c>
      <c r="E8" s="4" t="inlineStr">
        <is>
          <t>Slow support, outdated content</t>
        </is>
      </c>
      <c r="F8" s="4" t="inlineStr">
        <is>
          <t>No links to employers</t>
        </is>
      </c>
    </row>
    <row r="9" ht="48" customHeight="1">
      <c r="A9" s="3" t="inlineStr">
        <is>
          <t>Opportunities</t>
        </is>
      </c>
      <c r="B9" s="4" t="inlineStr">
        <is>
          <t>Beginner videos on TikTok and Google</t>
        </is>
      </c>
      <c r="C9" s="4" t="inlineStr">
        <is>
          <t>Publish prices and reviews; fast WhatsApp replies</t>
        </is>
      </c>
      <c r="D9" s="4" t="inlineStr">
        <is>
          <t>Free first class; 3 instalments</t>
        </is>
      </c>
      <c r="E9" s="4" t="inlineStr">
        <is>
          <t>Weekly labs, 24-hour support, recordings</t>
        </is>
      </c>
      <c r="F9" s="4" t="inlineStr">
        <is>
          <t>Exam prep, CV help, employer partners, referral reward</t>
        </is>
      </c>
    </row>
    <row r="10">
      <c r="A10" s="3" t="inlineStr">
        <is>
          <t>Feeling (1-5)</t>
        </is>
      </c>
      <c r="B10" s="9" t="n">
        <v>3</v>
      </c>
      <c r="C10" s="9" t="n">
        <v>2</v>
      </c>
      <c r="D10" s="9" t="n">
        <v>3</v>
      </c>
      <c r="E10" s="9" t="n">
        <v>4</v>
      </c>
      <c r="F10" s="9" t="n">
        <v>5</v>
      </c>
    </row>
    <row r="11">
      <c r="A11" s="3" t="inlineStr">
        <is>
          <t>Lowest point</t>
        </is>
      </c>
      <c r="B11" s="3" t="str">
        <f>INDEX(B4:F4,MATCH(MIN(B10:F10),B10:F10,0))</f>
        <v>Consideration</v>
      </c>
      <c r="C11" s="7" t="n"/>
      <c r="D11" s="7" t="n"/>
      <c r="E11" s="7" t="n"/>
      <c r="F11" s="7" t="n"/>
    </row>
    <row r="12">
      <c r="A12" s="3" t="inlineStr">
        <is>
          <t>Highest point</t>
        </is>
      </c>
      <c r="B12" s="3" t="str">
        <f>INDEX(B4:F4,MATCH(MAX(B10:F10),B10:F10,0))</f>
        <v>After the course</v>
      </c>
      <c r="C12" s="7" t="n"/>
      <c r="D12" s="7" t="n"/>
      <c r="E12" s="7" t="n"/>
      <c r="F12" s="7" t="n"/>
    </row>
  </sheetData>
  <mergeCells count="4">
    <mergeCell ref="A2:F2"/>
    <mergeCell ref="B12:F12"/>
    <mergeCell ref="A1:F1"/>
    <mergeCell ref="B11:F11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56" customWidth="1" min="4" max="4"/>
    <col width="12" customWidth="1" min="5" max="5"/>
    <col width="12" customWidth="1" min="6" max="6"/>
    <col width="13" customWidth="1" min="7" max="7"/>
    <col width="9" customWidth="1" min="8" max="8"/>
  </cols>
  <sheetData>
    <row r="1" ht="21" customHeight="1">
      <c r="A1" s="1" t="inlineStr">
        <is>
          <t>3. CUSTOMER NEEDS AND THE 5 MOST IMPORTANT</t>
        </is>
      </c>
    </row>
    <row r="2" ht="30" customHeight="1">
      <c r="A2" s="2" t="inlineStr">
        <is>
          <t>Frequency = how often the need came up in the research; impact = its effect on the decision to buy (1 to 5). Importance = frequency × impact (of 25).</t>
        </is>
      </c>
    </row>
    <row r="4" ht="32" customHeight="1">
      <c r="A4" s="8" t="inlineStr">
        <is>
          <t>Type</t>
        </is>
      </c>
      <c r="B4" s="8" t="inlineStr">
        <is>
          <t>Need</t>
        </is>
      </c>
      <c r="C4" s="8" t="inlineStr">
        <is>
          <t>What it means</t>
        </is>
      </c>
      <c r="D4" s="8" t="inlineStr">
        <is>
          <t>Evidence from the research</t>
        </is>
      </c>
      <c r="E4" s="8" t="inlineStr">
        <is>
          <t>Frequency (1-5)</t>
        </is>
      </c>
      <c r="F4" s="8" t="inlineStr">
        <is>
          <t>Impact (1-5)</t>
        </is>
      </c>
      <c r="G4" s="8" t="inlineStr">
        <is>
          <t>Importance (of 25)</t>
        </is>
      </c>
      <c r="H4" s="8" t="inlineStr">
        <is>
          <t>Rank</t>
        </is>
      </c>
    </row>
    <row r="5" ht="34" customHeight="1">
      <c r="A5" s="10" t="inlineStr">
        <is>
          <t>Functional</t>
        </is>
      </c>
      <c r="B5" s="3" t="inlineStr">
        <is>
          <t>Practical, hands-on skills</t>
        </is>
      </c>
      <c r="C5" s="4" t="inlineStr">
        <is>
          <t>Labs and real tools, not just theory</t>
        </is>
      </c>
      <c r="D5" s="4" t="inlineStr">
        <is>
          <t>“No labs” and “too much theory” drive low course ratings; TryHackMe is praised for its labs</t>
        </is>
      </c>
      <c r="E5" s="9" t="n">
        <v>5</v>
      </c>
      <c r="F5" s="9" t="n">
        <v>5</v>
      </c>
      <c r="G5" s="11">
        <f>E5*F5</f>
        <v>25</v>
      </c>
      <c r="H5" s="10">
        <f>RANK(G5,$G$5:$G$16)</f>
        <v>1</v>
      </c>
    </row>
    <row r="6" ht="34" customHeight="1">
      <c r="A6" s="10" t="inlineStr">
        <is>
          <t>Functional</t>
        </is>
      </c>
      <c r="B6" s="3" t="inlineStr">
        <is>
          <t>A flexible timetable</t>
        </is>
      </c>
      <c r="C6" s="4" t="inlineStr">
        <is>
          <t>Evening, weekend and recorded classes</t>
        </is>
      </c>
      <c r="D6" s="4" t="inlineStr">
        <is>
          <t>ALX is praised for self-paced study; AltSchool's 20 hours a week was too much for workers</t>
        </is>
      </c>
      <c r="E6" s="9" t="n">
        <v>4</v>
      </c>
      <c r="F6" s="9" t="n">
        <v>4</v>
      </c>
      <c r="G6" s="11">
        <f>E6*F6</f>
        <v>16</v>
      </c>
      <c r="H6" s="10">
        <f>RANK(G6,$G$5:$G$16)+COUNTIF($G$5:G5,G6)</f>
        <v>6</v>
      </c>
    </row>
    <row r="7" ht="34" customHeight="1">
      <c r="A7" s="10" t="inlineStr">
        <is>
          <t>Functional</t>
        </is>
      </c>
      <c r="B7" s="3" t="inlineStr">
        <is>
          <t>Preparation for a recognised certificate</t>
        </is>
      </c>
      <c r="C7" s="4" t="inlineStr">
        <is>
          <t>Ready for Security+ or ISC2 CC</t>
        </is>
      </c>
      <c r="D7" s="4" t="inlineStr">
        <is>
          <t>Guides say get Security+ first; ISC2's free exam offer ended in May 2026</t>
        </is>
      </c>
      <c r="E7" s="9" t="n">
        <v>4</v>
      </c>
      <c r="F7" s="9" t="n">
        <v>5</v>
      </c>
      <c r="G7" s="11">
        <f>E7*F7</f>
        <v>20</v>
      </c>
      <c r="H7" s="10">
        <f>RANK(G7,$G$5:$G$16)+COUNTIF($G$5:G6,G7)</f>
        <v>3</v>
      </c>
    </row>
    <row r="8" ht="34" customHeight="1">
      <c r="A8" s="10" t="inlineStr">
        <is>
          <t>Economic</t>
        </is>
      </c>
      <c r="B8" s="3" t="inlineStr">
        <is>
          <t>An affordable price</t>
        </is>
      </c>
      <c r="C8" s="4" t="inlineStr">
        <is>
          <t>A fair price for the value</t>
        </is>
      </c>
      <c r="D8" s="4" t="inlineStr">
        <is>
          <t>Rising “free course” searches; 20,000+ apply for about 500 free CyberGirls places</t>
        </is>
      </c>
      <c r="E8" s="9" t="n">
        <v>5</v>
      </c>
      <c r="F8" s="9" t="n">
        <v>5</v>
      </c>
      <c r="G8" s="11">
        <f>E8*F8</f>
        <v>25</v>
      </c>
      <c r="H8" s="10">
        <f>RANK(G8,$G$5:$G$16)+COUNTIF($G$5:G7,G8)</f>
        <v>2</v>
      </c>
    </row>
    <row r="9" ht="34" customHeight="1">
      <c r="A9" s="10" t="inlineStr">
        <is>
          <t>Economic</t>
        </is>
      </c>
      <c r="B9" s="3" t="inlineStr">
        <is>
          <t>Paying in instalments</t>
        </is>
      </c>
      <c r="C9" s="4" t="inlineStr">
        <is>
          <t>Spread the cost over the course</t>
        </is>
      </c>
      <c r="D9" s="4" t="inlineStr">
        <is>
          <t>The minimum wage is ₦70,000 a month; a rival lets people pay in parts</t>
        </is>
      </c>
      <c r="E9" s="9" t="n">
        <v>3</v>
      </c>
      <c r="F9" s="9" t="n">
        <v>4</v>
      </c>
      <c r="G9" s="11">
        <f>E9*F9</f>
        <v>12</v>
      </c>
      <c r="H9" s="10">
        <f>RANK(G9,$G$5:$G$16)+COUNTIF($G$5:G8,G9)</f>
        <v>8</v>
      </c>
    </row>
    <row r="10" ht="34" customHeight="1">
      <c r="A10" s="10" t="inlineStr">
        <is>
          <t>Economic</t>
        </is>
      </c>
      <c r="B10" s="3" t="inlineStr">
        <is>
          <t>A return on the money: a better-paid job</t>
        </is>
      </c>
      <c r="C10" s="4" t="inlineStr">
        <is>
          <t>The course pays for itself</t>
        </is>
      </c>
      <c r="D10" s="4" t="inlineStr">
        <is>
          <t>Junior analysts earn about ₦150,000 to ₦300,000 a month; people search for salaries</t>
        </is>
      </c>
      <c r="E10" s="9" t="n">
        <v>4</v>
      </c>
      <c r="F10" s="9" t="n">
        <v>5</v>
      </c>
      <c r="G10" s="11">
        <f>E10*F10</f>
        <v>20</v>
      </c>
      <c r="H10" s="10">
        <f>RANK(G10,$G$5:$G$16)+COUNTIF($G$5:G9,G10)</f>
        <v>4</v>
      </c>
    </row>
    <row r="11" ht="34" customHeight="1">
      <c r="A11" s="10" t="inlineStr">
        <is>
          <t>Emotional</t>
        </is>
      </c>
      <c r="B11" s="3" t="inlineStr">
        <is>
          <t>Trust that the course is genuine</t>
        </is>
      </c>
      <c r="C11" s="4" t="inlineStr">
        <is>
          <t>Confidence it is not a scam</t>
        </is>
      </c>
      <c r="D11" s="4" t="inlineStr">
        <is>
          <t>AltSchool was called a “scam” on X; local providers have few reviews</t>
        </is>
      </c>
      <c r="E11" s="9" t="n">
        <v>4</v>
      </c>
      <c r="F11" s="9" t="n">
        <v>4</v>
      </c>
      <c r="G11" s="11">
        <f>E11*F11</f>
        <v>16</v>
      </c>
      <c r="H11" s="10">
        <f>RANK(G11,$G$5:$G$16)+COUNTIF($G$5:G10,G11)</f>
        <v>7</v>
      </c>
    </row>
    <row r="12" ht="34" customHeight="1">
      <c r="A12" s="10" t="inlineStr">
        <is>
          <t>Emotional</t>
        </is>
      </c>
      <c r="B12" s="3" t="inlineStr">
        <is>
          <t>Feeling supported</t>
        </is>
      </c>
      <c r="C12" s="4" t="inlineStr">
        <is>
          <t>Quick help when stuck</t>
        </is>
      </c>
      <c r="D12" s="4" t="inlineStr">
        <is>
          <t>Slow support is a complaint about ALX, TryHackMe and AltSchool; 48% of cyber professionals feel exhausted keeping up</t>
        </is>
      </c>
      <c r="E12" s="9" t="n">
        <v>5</v>
      </c>
      <c r="F12" s="9" t="n">
        <v>4</v>
      </c>
      <c r="G12" s="11">
        <f>E12*F12</f>
        <v>20</v>
      </c>
      <c r="H12" s="10">
        <f>RANK(G12,$G$5:$G$16)+COUNTIF($G$5:G11,G12)</f>
        <v>5</v>
      </c>
    </row>
    <row r="13" ht="34" customHeight="1">
      <c r="A13" s="10" t="inlineStr">
        <is>
          <t>Emotional</t>
        </is>
      </c>
      <c r="B13" s="3" t="inlineStr">
        <is>
          <t>Hope for a future-proof career</t>
        </is>
      </c>
      <c r="C13" s="4" t="inlineStr">
        <is>
          <t>Pride in a growing field</t>
        </is>
      </c>
      <c r="D13" s="4" t="inlineStr">
        <is>
          <t>Cybersecurity is the 2nd fastest-growing skill in the world</t>
        </is>
      </c>
      <c r="E13" s="9" t="n">
        <v>3</v>
      </c>
      <c r="F13" s="9" t="n">
        <v>3</v>
      </c>
      <c r="G13" s="11">
        <f>E13*F13</f>
        <v>9</v>
      </c>
      <c r="H13" s="10">
        <f>RANK(G13,$G$5:$G$16)+COUNTIF($G$5:G12,G13)</f>
        <v>9</v>
      </c>
    </row>
    <row r="14" ht="34" customHeight="1">
      <c r="A14" s="10" t="inlineStr">
        <is>
          <t>Social</t>
        </is>
      </c>
      <c r="B14" s="3" t="inlineStr">
        <is>
          <t>Belonging to a learning community</t>
        </is>
      </c>
      <c r="C14" s="4" t="inlineStr">
        <is>
          <t>Learning with others</t>
        </is>
      </c>
      <c r="D14" s="4" t="inlineStr">
        <is>
          <t>ALX learners praise its community</t>
        </is>
      </c>
      <c r="E14" s="9" t="n">
        <v>3</v>
      </c>
      <c r="F14" s="9" t="n">
        <v>3</v>
      </c>
      <c r="G14" s="11">
        <f>E14*F14</f>
        <v>9</v>
      </c>
      <c r="H14" s="10">
        <f>RANK(G14,$G$5:$G$16)+COUNTIF($G$5:G13,G14)</f>
        <v>10</v>
      </c>
    </row>
    <row r="15" ht="34" customHeight="1">
      <c r="A15" s="10" t="inlineStr">
        <is>
          <t>Social</t>
        </is>
      </c>
      <c r="B15" s="3" t="inlineStr">
        <is>
          <t>Status of a respected tech job</t>
        </is>
      </c>
      <c r="C15" s="4" t="inlineStr">
        <is>
          <t>Being seen as a tech professional</t>
        </is>
      </c>
      <c r="D15" s="4" t="inlineStr">
        <is>
          <t>14 million Nigerians are on LinkedIn</t>
        </is>
      </c>
      <c r="E15" s="9" t="n">
        <v>2</v>
      </c>
      <c r="F15" s="9" t="n">
        <v>3</v>
      </c>
      <c r="G15" s="11">
        <f>E15*F15</f>
        <v>6</v>
      </c>
      <c r="H15" s="10">
        <f>RANK(G15,$G$5:$G$16)+COUNTIF($G$5:G14,G15)</f>
        <v>12</v>
      </c>
    </row>
    <row r="16" ht="34" customHeight="1">
      <c r="A16" s="10" t="inlineStr">
        <is>
          <t>Social</t>
        </is>
      </c>
      <c r="B16" s="3" t="inlineStr">
        <is>
          <t>Inclusion for women and non-IT people</t>
        </is>
      </c>
      <c r="C16" s="4" t="inlineStr">
        <is>
          <t>Welcome whatever your background</t>
        </is>
      </c>
      <c r="D16" s="4" t="inlineStr">
        <is>
          <t>Women are 22% of cyber teams, 26% of those under 30</t>
        </is>
      </c>
      <c r="E16" s="9" t="n">
        <v>3</v>
      </c>
      <c r="F16" s="9" t="n">
        <v>3</v>
      </c>
      <c r="G16" s="11">
        <f>E16*F16</f>
        <v>9</v>
      </c>
      <c r="H16" s="10">
        <f>RANK(G16,$G$5:$G$16)+COUNTIF($G$5:G15,G16)</f>
        <v>11</v>
      </c>
    </row>
    <row r="18" ht="20" customHeight="1">
      <c r="A18" s="6" t="inlineStr">
        <is>
          <t>The 5 most important needs (found by formula)</t>
        </is>
      </c>
    </row>
    <row r="19" ht="22" customHeight="1">
      <c r="A19" s="8" t="inlineStr">
        <is>
          <t>Rank</t>
        </is>
      </c>
      <c r="B19" s="8" t="inlineStr">
        <is>
          <t>Need</t>
        </is>
      </c>
      <c r="C19" s="8" t="inlineStr">
        <is>
          <t>Type</t>
        </is>
      </c>
      <c r="D19" s="8" t="inlineStr">
        <is>
          <t>Importance (of 25)</t>
        </is>
      </c>
    </row>
    <row r="20">
      <c r="A20" s="10" t="n">
        <v>1</v>
      </c>
      <c r="B20" s="3" t="str">
        <f>INDEX($B$5:$B$16,MATCH(1,$H$5:$H$16,0))</f>
        <v>Practical, hands-on skills</v>
      </c>
      <c r="C20" s="10" t="str">
        <f>INDEX($A$5:$A$16,MATCH(1,$H$5:$H$16,0))</f>
        <v>Functional</v>
      </c>
      <c r="D20" s="10">
        <f>INDEX($G$5:$G$16,MATCH(1,$H$5:$H$16,0))</f>
        <v>25</v>
      </c>
    </row>
    <row r="21">
      <c r="A21" s="10" t="n">
        <v>2</v>
      </c>
      <c r="B21" s="3" t="str">
        <f>INDEX($B$5:$B$16,MATCH(2,$H$5:$H$16,0))</f>
        <v>An affordable price</v>
      </c>
      <c r="C21" s="10" t="str">
        <f>INDEX($A$5:$A$16,MATCH(2,$H$5:$H$16,0))</f>
        <v>Economic</v>
      </c>
      <c r="D21" s="10">
        <f>INDEX($G$5:$G$16,MATCH(2,$H$5:$H$16,0))</f>
        <v>25</v>
      </c>
    </row>
    <row r="22">
      <c r="A22" s="10" t="n">
        <v>3</v>
      </c>
      <c r="B22" s="3" t="str">
        <f>INDEX($B$5:$B$16,MATCH(3,$H$5:$H$16,0))</f>
        <v>Preparation for a recognised certificate</v>
      </c>
      <c r="C22" s="10" t="str">
        <f>INDEX($A$5:$A$16,MATCH(3,$H$5:$H$16,0))</f>
        <v>Functional</v>
      </c>
      <c r="D22" s="10">
        <f>INDEX($G$5:$G$16,MATCH(3,$H$5:$H$16,0))</f>
        <v>20</v>
      </c>
    </row>
    <row r="23">
      <c r="A23" s="10" t="n">
        <v>4</v>
      </c>
      <c r="B23" s="3" t="str">
        <f>INDEX($B$5:$B$16,MATCH(4,$H$5:$H$16,0))</f>
        <v>A return on the money: a better-paid job</v>
      </c>
      <c r="C23" s="10" t="str">
        <f>INDEX($A$5:$A$16,MATCH(4,$H$5:$H$16,0))</f>
        <v>Economic</v>
      </c>
      <c r="D23" s="10">
        <f>INDEX($G$5:$G$16,MATCH(4,$H$5:$H$16,0))</f>
        <v>20</v>
      </c>
    </row>
    <row r="24">
      <c r="A24" s="10" t="n">
        <v>5</v>
      </c>
      <c r="B24" s="3" t="str">
        <f>INDEX($B$5:$B$16,MATCH(5,$H$5:$H$16,0))</f>
        <v>Feeling supported</v>
      </c>
      <c r="C24" s="10" t="str">
        <f>INDEX($A$5:$A$16,MATCH(5,$H$5:$H$16,0))</f>
        <v>Emotional</v>
      </c>
      <c r="D24" s="10">
        <f>INDEX($G$5:$G$16,MATCH(5,$H$5:$H$16,0))</f>
        <v>20</v>
      </c>
    </row>
    <row r="26" ht="20" customHeight="1">
      <c r="A26" s="6" t="inlineStr">
        <is>
          <t>Needs by type: average importance</t>
        </is>
      </c>
    </row>
    <row r="27" ht="22" customHeight="1">
      <c r="A27" s="8" t="inlineStr">
        <is>
          <t>Type</t>
        </is>
      </c>
      <c r="B27" s="8" t="inlineStr">
        <is>
          <t>Average importance</t>
        </is>
      </c>
    </row>
    <row r="28">
      <c r="A28" s="3" t="inlineStr">
        <is>
          <t>Functional</t>
        </is>
      </c>
      <c r="B28" s="12">
        <f>AVERAGEIF($A$5:$A$16,"Functional",$G$5:$G$16)</f>
        <v>20.3333333333333</v>
      </c>
    </row>
    <row r="29">
      <c r="A29" s="3" t="inlineStr">
        <is>
          <t>Economic</t>
        </is>
      </c>
      <c r="B29" s="12">
        <f>AVERAGEIF($A$5:$A$16,"Economic",$G$5:$G$16)</f>
        <v>19</v>
      </c>
    </row>
    <row r="30">
      <c r="A30" s="3" t="inlineStr">
        <is>
          <t>Emotional</t>
        </is>
      </c>
      <c r="B30" s="12">
        <f>AVERAGEIF($A$5:$A$16,"Emotional",$G$5:$G$16)</f>
        <v>15</v>
      </c>
    </row>
    <row r="31">
      <c r="A31" s="3" t="inlineStr">
        <is>
          <t>Social</t>
        </is>
      </c>
      <c r="B31" s="12">
        <f>AVERAGEIF($A$5:$A$16,"Social",$G$5:$G$16)</f>
        <v>8</v>
      </c>
    </row>
    <row r="33" ht="20" customHeight="1">
      <c r="A33" s="6" t="inlineStr">
        <is>
          <t>Importance of each need (chart data)</t>
        </is>
      </c>
    </row>
    <row r="34" ht="22" customHeight="1">
      <c r="A34" s="8" t="inlineStr">
        <is>
          <t>Need</t>
        </is>
      </c>
      <c r="B34" s="8" t="inlineStr">
        <is>
          <t>Importance</t>
        </is>
      </c>
    </row>
    <row r="35">
      <c r="A35" s="4" t="inlineStr">
        <is>
          <t>Hands-on skills</t>
        </is>
      </c>
      <c r="B35" s="10">
        <f>G5</f>
        <v>25</v>
      </c>
    </row>
    <row r="36">
      <c r="A36" s="4" t="inlineStr">
        <is>
          <t>Flexible timetable</t>
        </is>
      </c>
      <c r="B36" s="10">
        <f>G6</f>
        <v>16</v>
      </c>
    </row>
    <row r="37">
      <c r="A37" s="4" t="inlineStr">
        <is>
          <t>Certificate preparation</t>
        </is>
      </c>
      <c r="B37" s="10">
        <f>G7</f>
        <v>20</v>
      </c>
    </row>
    <row r="38">
      <c r="A38" s="4" t="inlineStr">
        <is>
          <t>Affordable price</t>
        </is>
      </c>
      <c r="B38" s="10">
        <f>G8</f>
        <v>25</v>
      </c>
    </row>
    <row r="39">
      <c r="A39" s="4" t="inlineStr">
        <is>
          <t>Pay in parts</t>
        </is>
      </c>
      <c r="B39" s="10">
        <f>G9</f>
        <v>12</v>
      </c>
    </row>
    <row r="40">
      <c r="A40" s="4" t="inlineStr">
        <is>
          <t>Better-paid job</t>
        </is>
      </c>
      <c r="B40" s="10">
        <f>G10</f>
        <v>20</v>
      </c>
    </row>
    <row r="41">
      <c r="A41" s="4" t="inlineStr">
        <is>
          <t>Trust, not a scam</t>
        </is>
      </c>
      <c r="B41" s="10">
        <f>G11</f>
        <v>16</v>
      </c>
    </row>
    <row r="42">
      <c r="A42" s="4" t="inlineStr">
        <is>
          <t>Feeling supported</t>
        </is>
      </c>
      <c r="B42" s="10">
        <f>G12</f>
        <v>20</v>
      </c>
    </row>
    <row r="43">
      <c r="A43" s="4" t="inlineStr">
        <is>
          <t>Future-proof career</t>
        </is>
      </c>
      <c r="B43" s="10">
        <f>G13</f>
        <v>9</v>
      </c>
    </row>
    <row r="44">
      <c r="A44" s="4" t="inlineStr">
        <is>
          <t>Community</t>
        </is>
      </c>
      <c r="B44" s="10">
        <f>G14</f>
        <v>9</v>
      </c>
    </row>
    <row r="45">
      <c r="A45" s="4" t="inlineStr">
        <is>
          <t>Status</t>
        </is>
      </c>
      <c r="B45" s="10">
        <f>G15</f>
        <v>6</v>
      </c>
    </row>
    <row r="46">
      <c r="A46" s="4" t="inlineStr">
        <is>
          <t>Inclusion</t>
        </is>
      </c>
      <c r="B46" s="10">
        <f>G16</f>
        <v>9</v>
      </c>
    </row>
  </sheetData>
  <mergeCells count="5">
    <mergeCell ref="A18:H18"/>
    <mergeCell ref="A26:H26"/>
    <mergeCell ref="A2:H2"/>
    <mergeCell ref="A33:H33"/>
    <mergeCell ref="A1:H1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 ht="21" customHeight="1">
      <c r="A1" s="1" t="inlineStr">
        <is>
          <t>4. FOUR MARKET SEGMENTS</t>
        </is>
      </c>
    </row>
    <row r="2">
      <c r="A2" s="2" t="inlineStr">
        <is>
          <t>Built on four bases: demographic, geographic, psychographic and behavioural.</t>
        </is>
      </c>
    </row>
    <row r="4" ht="24" customHeight="1">
      <c r="A4" s="8" t="inlineStr">
        <is>
          <t>Base</t>
        </is>
      </c>
      <c r="B4" s="8" t="inlineStr">
        <is>
          <t>Campus Starters</t>
        </is>
      </c>
      <c r="C4" s="8" t="inlineStr">
        <is>
          <t>Career Switchers</t>
        </is>
      </c>
      <c r="D4" s="8" t="inlineStr">
        <is>
          <t>Corporate Upskillers</t>
        </is>
      </c>
      <c r="E4" s="8" t="inlineStr">
        <is>
          <t>Women in Tech Starters</t>
        </is>
      </c>
    </row>
    <row r="5" ht="48" customHeight="1">
      <c r="A5" s="3" t="inlineStr">
        <is>
          <t>Demographic</t>
        </is>
      </c>
      <c r="B5" s="4" t="inlineStr">
        <is>
          <t>Students and new graduates, 18 to 24; little or no income</t>
        </is>
      </c>
      <c r="C5" s="4" t="inlineStr">
        <is>
          <t>Working adults, 25 to 35, in non-IT jobs; steady but modest pay</t>
        </is>
      </c>
      <c r="D5" s="4" t="inlineStr">
        <is>
          <t>Staff of banks, telecoms and government, 25 to 45; the employer pays</t>
        </is>
      </c>
      <c r="E5" s="4" t="inlineStr">
        <is>
          <t>Women 18 to 30, students and graduates</t>
        </is>
      </c>
    </row>
    <row r="6" ht="48" customHeight="1">
      <c r="A6" s="3" t="inlineStr">
        <is>
          <t>Geographic</t>
        </is>
      </c>
      <c r="B6" s="4" t="inlineStr">
        <is>
          <t>University towns across Nigeria; online</t>
        </is>
      </c>
      <c r="C6" s="4" t="inlineStr">
        <is>
          <t>Lagos, Abuja and Port Harcourt; online in the evenings and at weekends</t>
        </is>
      </c>
      <c r="D6" s="4" t="inlineStr">
        <is>
          <t>Head offices in Lagos and Abuja</t>
        </is>
      </c>
      <c r="E6" s="4" t="inlineStr">
        <is>
          <t>Nationwide, online, with hubs in Lagos and Abuja</t>
        </is>
      </c>
    </row>
    <row r="7" ht="48" customHeight="1">
      <c r="A7" s="3" t="inlineStr">
        <is>
          <t>Psychographic</t>
        </is>
      </c>
      <c r="B7" s="4" t="inlineStr">
        <is>
          <t>Ambitious and curious; want a head start before graduating</t>
        </is>
      </c>
      <c r="C7" s="4" t="inlineStr">
        <is>
          <t>Want a better-paid, future-proof career; careful with money</t>
        </is>
      </c>
      <c r="D7" s="4" t="inlineStr">
        <is>
          <t>Career growth and doing things by the book</t>
        </is>
      </c>
      <c r="E7" s="4" t="inlineStr">
        <is>
          <t>Want a safe, supportive community and role models</t>
        </is>
      </c>
    </row>
    <row r="8" ht="48" customHeight="1">
      <c r="A8" s="3" t="inlineStr">
        <is>
          <t>Behavioural</t>
        </is>
      </c>
      <c r="B8" s="4" t="inlineStr">
        <is>
          <t>Search for “free course”; learn on YouTube and TikTok; very price-driven</t>
        </is>
      </c>
      <c r="C8" s="4" t="inlineStr">
        <is>
          <t>Compare courses and read reviews; search for salaries; pay in instalments</t>
        </is>
      </c>
      <c r="D8" s="4" t="inlineStr">
        <is>
          <t>Buy through HR in groups; want recognised certificates</t>
        </is>
      </c>
      <c r="E8" s="4" t="inlineStr">
        <is>
          <t>Apply for free fellowships; follow women's tech groups</t>
        </is>
      </c>
    </row>
    <row r="9" ht="34" customHeight="1">
      <c r="A9" s="3" t="inlineStr">
        <is>
          <t>Size evidence</t>
        </is>
      </c>
      <c r="B9" s="5" t="inlineStr">
        <is>
          <t>2.1 million university students (NUC)</t>
        </is>
      </c>
      <c r="C9" s="5" t="inlineStr">
        <is>
          <t>109 million internet users; median age about 19</t>
        </is>
      </c>
      <c r="D9" s="5" t="inlineStr">
        <is>
          <t>Banks, finance and insurance are 29.2% of the cyber market</t>
        </is>
      </c>
      <c r="E9" s="5" t="inlineStr">
        <is>
          <t>20,000+ applications a year to CyberGirls</t>
        </is>
      </c>
    </row>
    <row r="11" ht="20" customHeight="1">
      <c r="A11" s="6" t="inlineStr">
        <is>
          <t>The four bases</t>
        </is>
      </c>
    </row>
    <row r="12">
      <c r="A12" s="3" t="inlineStr">
        <is>
          <t>Demographic</t>
        </is>
      </c>
      <c r="B12" s="4" t="inlineStr">
        <is>
          <t>Age, education, job and income</t>
        </is>
      </c>
      <c r="C12" s="7" t="n"/>
      <c r="D12" s="7" t="n"/>
      <c r="E12" s="7" t="n"/>
    </row>
    <row r="13">
      <c r="A13" s="3" t="inlineStr">
        <is>
          <t>Geographic</t>
        </is>
      </c>
      <c r="B13" s="4" t="inlineStr">
        <is>
          <t>Where they live and how they can attend</t>
        </is>
      </c>
      <c r="C13" s="7" t="n"/>
      <c r="D13" s="7" t="n"/>
      <c r="E13" s="7" t="n"/>
    </row>
    <row r="14">
      <c r="A14" s="3" t="inlineStr">
        <is>
          <t>Psychographic</t>
        </is>
      </c>
      <c r="B14" s="4" t="inlineStr">
        <is>
          <t>Values, goals, attitudes and lifestyle</t>
        </is>
      </c>
      <c r="C14" s="7" t="n"/>
      <c r="D14" s="7" t="n"/>
      <c r="E14" s="7" t="n"/>
    </row>
    <row r="15">
      <c r="A15" s="3" t="inlineStr">
        <is>
          <t>Behavioural</t>
        </is>
      </c>
      <c r="B15" s="4" t="inlineStr">
        <is>
          <t>How they search, decide, buy and learn</t>
        </is>
      </c>
      <c r="C15" s="7" t="n"/>
      <c r="D15" s="7" t="n"/>
      <c r="E15" s="7" t="n"/>
    </row>
  </sheetData>
  <mergeCells count="7">
    <mergeCell ref="A2:E2"/>
    <mergeCell ref="B12:E12"/>
    <mergeCell ref="B13:E13"/>
    <mergeCell ref="A11:E11"/>
    <mergeCell ref="B15:E15"/>
    <mergeCell ref="A1:E1"/>
    <mergeCell ref="B14:E14"/>
  </mergeCells>
  <pageMargins left="0.5" right="0.5" top="0.6" bottom="0.6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9" customWidth="1" min="7" max="7"/>
  </cols>
  <sheetData>
    <row r="1" ht="21" customHeight="1">
      <c r="A1" s="1" t="inlineStr">
        <is>
          <t>5. SEGMENT SCORES AND 6. THE TARGET SEGMENT</t>
        </is>
      </c>
    </row>
    <row r="2" ht="30" customHeight="1">
      <c r="A2" s="2" t="inlineStr">
        <is>
          <t>Each criterion scored 1 (poor) to 5 (best); for competition, 5 means little competition. Weighted score = SUMPRODUCT of the weights and the scores (of 5).</t>
        </is>
      </c>
    </row>
    <row r="4" ht="30" customHeight="1">
      <c r="A4" s="8" t="inlineStr">
        <is>
          <t>Segment</t>
        </is>
      </c>
      <c r="B4" s="8" t="inlineStr">
        <is>
          <t>Market size</t>
        </is>
      </c>
      <c r="C4" s="8" t="inlineStr">
        <is>
          <t>Accessibility</t>
        </is>
      </c>
      <c r="D4" s="8" t="inlineStr">
        <is>
          <t>Buying potential</t>
        </is>
      </c>
      <c r="E4" s="8" t="inlineStr">
        <is>
          <t>Competition</t>
        </is>
      </c>
      <c r="F4" s="8" t="inlineStr">
        <is>
          <t>Weighted score</t>
        </is>
      </c>
      <c r="G4" s="8" t="inlineStr">
        <is>
          <t>Rank</t>
        </is>
      </c>
    </row>
    <row r="5">
      <c r="A5" s="3" t="inlineStr">
        <is>
          <t>Weight</t>
        </is>
      </c>
      <c r="B5" s="13" t="n">
        <v>0.25</v>
      </c>
      <c r="C5" s="13" t="n">
        <v>0.25</v>
      </c>
      <c r="D5" s="13" t="n">
        <v>0.3</v>
      </c>
      <c r="E5" s="13" t="n">
        <v>0.2</v>
      </c>
      <c r="F5" s="14">
        <f>SUM(B5:E5)</f>
        <v>1</v>
      </c>
      <c r="G5" s="4" t="n"/>
    </row>
    <row r="6" ht="22" customHeight="1">
      <c r="A6" s="3" t="inlineStr">
        <is>
          <t>Campus Starters</t>
        </is>
      </c>
      <c r="B6" s="9" t="n">
        <v>5</v>
      </c>
      <c r="C6" s="9" t="n">
        <v>4</v>
      </c>
      <c r="D6" s="9" t="n">
        <v>2</v>
      </c>
      <c r="E6" s="9" t="n">
        <v>2</v>
      </c>
      <c r="F6" s="15">
        <f>SUMPRODUCT($B$5:$E$5,B6:E6)</f>
        <v>3.25</v>
      </c>
      <c r="G6" s="10">
        <f>RANK(F6,$F$6:$F$9)</f>
        <v>2</v>
      </c>
    </row>
    <row r="7" ht="22" customHeight="1">
      <c r="A7" s="3" t="inlineStr">
        <is>
          <t>Career Switchers</t>
        </is>
      </c>
      <c r="B7" s="9" t="n">
        <v>4</v>
      </c>
      <c r="C7" s="9" t="n">
        <v>4</v>
      </c>
      <c r="D7" s="9" t="n">
        <v>4</v>
      </c>
      <c r="E7" s="9" t="n">
        <v>4</v>
      </c>
      <c r="F7" s="15">
        <f>SUMPRODUCT($B$5:$E$5,B7:E7)</f>
        <v>4</v>
      </c>
      <c r="G7" s="10">
        <f>RANK(F7,$F$6:$F$9)</f>
        <v>1</v>
      </c>
    </row>
    <row r="8" ht="22" customHeight="1">
      <c r="A8" s="3" t="inlineStr">
        <is>
          <t>Corporate Upskillers</t>
        </is>
      </c>
      <c r="B8" s="9" t="n">
        <v>2</v>
      </c>
      <c r="C8" s="9" t="n">
        <v>3</v>
      </c>
      <c r="D8" s="9" t="n">
        <v>5</v>
      </c>
      <c r="E8" s="9" t="n">
        <v>2</v>
      </c>
      <c r="F8" s="15">
        <f>SUMPRODUCT($B$5:$E$5,B8:E8)</f>
        <v>3.15</v>
      </c>
      <c r="G8" s="10">
        <f>RANK(F8,$F$6:$F$9)</f>
        <v>3</v>
      </c>
    </row>
    <row r="9" ht="22" customHeight="1">
      <c r="A9" s="3" t="inlineStr">
        <is>
          <t>Women in Tech Starters</t>
        </is>
      </c>
      <c r="B9" s="9" t="n">
        <v>3</v>
      </c>
      <c r="C9" s="9" t="n">
        <v>4</v>
      </c>
      <c r="D9" s="9" t="n">
        <v>2</v>
      </c>
      <c r="E9" s="9" t="n">
        <v>3</v>
      </c>
      <c r="F9" s="15">
        <f>SUMPRODUCT($B$5:$E$5,B9:E9)</f>
        <v>2.95</v>
      </c>
      <c r="G9" s="10">
        <f>RANK(F9,$F$6:$F$9)</f>
        <v>4</v>
      </c>
    </row>
    <row r="11" ht="22" customHeight="1">
      <c r="A11" s="16" t="inlineStr">
        <is>
          <t>6. Target segment</t>
        </is>
      </c>
      <c r="B11" s="17" t="str">
        <f>INDEX(A6:A9,MATCH(MAX(F6:F9),F6:F9,0))&amp;" ("&amp;TEXT(MAX(F6:F9),"0.00")&amp;" of 5)"</f>
        <v>Career Switchers (4.00 of 5)</v>
      </c>
      <c r="C11" s="7" t="n"/>
      <c r="D11" s="7" t="n"/>
      <c r="E11" s="7" t="n"/>
      <c r="F11" s="7" t="n"/>
      <c r="G11" s="7" t="n"/>
    </row>
    <row r="13" ht="20" customHeight="1">
      <c r="A13" s="6" t="inlineStr">
        <is>
          <t>Why each segment got its scores</t>
        </is>
      </c>
    </row>
    <row r="14" ht="22" customHeight="1">
      <c r="A14" s="8" t="inlineStr">
        <is>
          <t>Segment</t>
        </is>
      </c>
      <c r="B14" s="8" t="inlineStr">
        <is>
          <t>Market size</t>
        </is>
      </c>
      <c r="C14" s="8" t="inlineStr">
        <is>
          <t>Accessibility</t>
        </is>
      </c>
      <c r="D14" s="8" t="inlineStr">
        <is>
          <t>Buying potential</t>
        </is>
      </c>
      <c r="E14" s="8" t="inlineStr">
        <is>
          <t>Competition</t>
        </is>
      </c>
    </row>
    <row r="15" ht="46" customHeight="1">
      <c r="A15" s="3" t="inlineStr">
        <is>
          <t>Campus Starters</t>
        </is>
      </c>
      <c r="B15" s="4" t="inlineStr">
        <is>
          <t>2.1 million university students</t>
        </is>
      </c>
      <c r="C15" s="4" t="inlineStr">
        <is>
          <t>Easy to reach online and on campus</t>
        </is>
      </c>
      <c r="D15" s="4" t="inlineStr">
        <is>
          <t>Little income; want free courses</t>
        </is>
      </c>
      <c r="E15" s="4" t="inlineStr">
        <is>
          <t>Many free courses aim at them</t>
        </is>
      </c>
    </row>
    <row r="16" ht="46" customHeight="1">
      <c r="A16" s="3" t="inlineStr">
        <is>
          <t>Career Switchers</t>
        </is>
      </c>
      <c r="B16" s="4" t="inlineStr">
        <is>
          <t>Large: young working adults in big cities</t>
        </is>
      </c>
      <c r="C16" s="4" t="inlineStr">
        <is>
          <t>Reach on Facebook, LinkedIn and Google</t>
        </is>
      </c>
      <c r="D16" s="4" t="inlineStr">
        <is>
          <t>Earn above the minimum wage; can pay in parts</t>
        </is>
      </c>
      <c r="E16" s="4" t="inlineStr">
        <is>
          <t>Few practical, mid-price evening courses</t>
        </is>
      </c>
    </row>
    <row r="17" ht="46" customHeight="1">
      <c r="A17" s="3" t="inlineStr">
        <is>
          <t>Corporate Upskillers</t>
        </is>
      </c>
      <c r="B17" s="4" t="inlineStr">
        <is>
          <t>Smaller: staff of a few big employers</t>
        </is>
      </c>
      <c r="C17" s="4" t="inlineStr">
        <is>
          <t>Slow sales through HR</t>
        </is>
      </c>
      <c r="D17" s="4" t="inlineStr">
        <is>
          <t>Employers pay; banks are 29% of the market</t>
        </is>
      </c>
      <c r="E17" s="4" t="inlineStr">
        <is>
          <t>Classroom firms already serve them</t>
        </is>
      </c>
    </row>
    <row r="18" ht="46" customHeight="1">
      <c r="A18" s="3" t="inlineStr">
        <is>
          <t>Women in Tech Starters</t>
        </is>
      </c>
      <c r="B18" s="4" t="inlineStr">
        <is>
          <t>About 1 in 4 cyber professionals under 30</t>
        </is>
      </c>
      <c r="C18" s="4" t="inlineStr">
        <is>
          <t>Active online communities</t>
        </is>
      </c>
      <c r="D18" s="4" t="inlineStr">
        <is>
          <t>Often students; want free places</t>
        </is>
      </c>
      <c r="E18" s="4" t="inlineStr">
        <is>
          <t>Free fellowships, but places are few</t>
        </is>
      </c>
    </row>
  </sheetData>
  <mergeCells count="4">
    <mergeCell ref="A13:G13"/>
    <mergeCell ref="A2:G2"/>
    <mergeCell ref="A1:G1"/>
    <mergeCell ref="B11:G11"/>
  </mergeCells>
  <pageMargins left="0.5" right="0.5" top="0.6" bottom="0.6" header="0.3" footer="0.3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12" customWidth="1" min="3" max="3"/>
    <col width="46" customWidth="1" min="4" max="4"/>
  </cols>
  <sheetData>
    <row r="1" ht="21" customHeight="1">
      <c r="A1" s="1" t="inlineStr">
        <is>
          <t>CAPSTONE PART 2: CUSTOMER ANALYSIS FOR CYBERSTART</t>
        </is>
      </c>
    </row>
    <row r="2">
      <c r="A2" s="2" t="inlineStr">
        <is>
          <t>World and Nigerian data behind the customer needs and segments. Found on 11 October 2026.</t>
        </is>
      </c>
    </row>
    <row r="4" ht="22" customHeight="1">
      <c r="A4" s="8" t="inlineStr">
        <is>
          <t>Fact</t>
        </is>
      </c>
      <c r="B4" s="8" t="inlineStr">
        <is>
          <t>Figure</t>
        </is>
      </c>
      <c r="C4" s="8" t="inlineStr">
        <is>
          <t>Where</t>
        </is>
      </c>
      <c r="D4" s="8" t="inlineStr">
        <is>
          <t>Source</t>
        </is>
      </c>
    </row>
    <row r="5" ht="30" customHeight="1">
      <c r="A5" s="3" t="inlineStr">
        <is>
          <t>Fastest-growing skills in the world, 2025 to 2030</t>
        </is>
      </c>
      <c r="B5" s="4" t="inlineStr">
        <is>
          <t>Networks and cybersecurity: 2nd (after AI and big data)</t>
        </is>
      </c>
      <c r="C5" s="10" t="inlineStr">
        <is>
          <t>World</t>
        </is>
      </c>
      <c r="D5" s="4" t="inlineStr">
        <is>
          <t>World Economic Forum, Future of Jobs Report 2025 (as summarised by Mwanaspoti)</t>
        </is>
      </c>
    </row>
    <row r="6" ht="30" customHeight="1">
      <c r="A6" s="3" t="inlineStr">
        <is>
          <t>Cybersecurity teams with at least one skills gap</t>
        </is>
      </c>
      <c r="B6" s="4" t="inlineStr">
        <is>
          <t>95%</t>
        </is>
      </c>
      <c r="C6" s="10" t="inlineStr">
        <is>
          <t>World</t>
        </is>
      </c>
      <c r="D6" s="4" t="inlineStr">
        <is>
          <t>ISC2</t>
        </is>
      </c>
    </row>
    <row r="7" ht="30" customHeight="1">
      <c r="A7" s="3" t="inlineStr">
        <is>
          <t>Skills most in demand in cybersecurity</t>
        </is>
      </c>
      <c r="B7" s="4" t="inlineStr">
        <is>
          <t>AI and cloud security</t>
        </is>
      </c>
      <c r="C7" s="10" t="inlineStr">
        <is>
          <t>World</t>
        </is>
      </c>
      <c r="D7" s="4" t="inlineStr">
        <is>
          <t>ISC2</t>
        </is>
      </c>
    </row>
    <row r="8" ht="30" customHeight="1">
      <c r="A8" s="3" t="inlineStr">
        <is>
          <t>Women in cybersecurity teams</t>
        </is>
      </c>
      <c r="B8" s="4" t="inlineStr">
        <is>
          <t>22% (26% of professionals under 30)</t>
        </is>
      </c>
      <c r="C8" s="10" t="inlineStr">
        <is>
          <t>World</t>
        </is>
      </c>
      <c r="D8" s="4" t="inlineStr">
        <is>
          <t>ISC2</t>
        </is>
      </c>
    </row>
    <row r="9" ht="30" customHeight="1">
      <c r="A9" s="3" t="inlineStr">
        <is>
          <t>Median age</t>
        </is>
      </c>
      <c r="B9" s="4" t="inlineStr">
        <is>
          <t>About 19 years</t>
        </is>
      </c>
      <c r="C9" s="10" t="inlineStr">
        <is>
          <t>Nigeria</t>
        </is>
      </c>
      <c r="D9" s="4" t="inlineStr">
        <is>
          <t>GeoRank, using UN and World Bank data</t>
        </is>
      </c>
    </row>
    <row r="10" ht="30" customHeight="1">
      <c r="A10" s="3" t="inlineStr">
        <is>
          <t>University students</t>
        </is>
      </c>
      <c r="B10" s="4" t="inlineStr">
        <is>
          <t>2.1 million</t>
        </is>
      </c>
      <c r="C10" s="10" t="inlineStr">
        <is>
          <t>Nigeria</t>
        </is>
      </c>
      <c r="D10" s="4" t="inlineStr">
        <is>
          <t>TheCable, reporting the NUC</t>
        </is>
      </c>
    </row>
    <row r="11" ht="30" customHeight="1">
      <c r="A11" s="3" t="inlineStr">
        <is>
          <t>National minimum wage</t>
        </is>
      </c>
      <c r="B11" s="4" t="inlineStr">
        <is>
          <t>₦70,000 a month</t>
        </is>
      </c>
      <c r="C11" s="10" t="inlineStr">
        <is>
          <t>Nigeria</t>
        </is>
      </c>
      <c r="D11" s="4" t="inlineStr">
        <is>
          <t>Playroll</t>
        </is>
      </c>
    </row>
    <row r="12" ht="30" customHeight="1">
      <c r="A12" s="3" t="inlineStr">
        <is>
          <t>Junior security analyst pay</t>
        </is>
      </c>
      <c r="B12" s="4" t="inlineStr">
        <is>
          <t>About ₦150,000 to ₦300,000 a month</t>
        </is>
      </c>
      <c r="C12" s="10" t="inlineStr">
        <is>
          <t>Nigeria</t>
        </is>
      </c>
      <c r="D12" s="4" t="inlineStr">
        <is>
          <t>Mobility.com.ng</t>
        </is>
      </c>
    </row>
    <row r="13" ht="30" customHeight="1">
      <c r="A13" s="3" t="inlineStr">
        <is>
          <t>People using the internet</t>
        </is>
      </c>
      <c r="B13" s="4" t="inlineStr">
        <is>
          <t>109 million (end of 2025)</t>
        </is>
      </c>
      <c r="C13" s="10" t="inlineStr">
        <is>
          <t>Nigeria</t>
        </is>
      </c>
      <c r="D13" s="4" t="inlineStr">
        <is>
          <t>DataReportal</t>
        </is>
      </c>
    </row>
    <row r="15" ht="20" customHeight="1">
      <c r="A15" s="6" t="inlineStr">
        <is>
          <t>What the price means for customers (change the yellow cells)</t>
        </is>
      </c>
    </row>
    <row r="16" ht="22" customHeight="1">
      <c r="A16" s="8" t="inlineStr">
        <is>
          <t>Item</t>
        </is>
      </c>
      <c r="B16" s="8" t="inlineStr">
        <is>
          <t>Figure</t>
        </is>
      </c>
    </row>
    <row r="17">
      <c r="A17" s="4" t="inlineStr">
        <is>
          <t>Course price (₦)</t>
        </is>
      </c>
      <c r="B17" s="18" t="n">
        <v>150000</v>
      </c>
    </row>
    <row r="18">
      <c r="A18" s="4" t="inlineStr">
        <is>
          <t>Number of instalments</t>
        </is>
      </c>
      <c r="B18" s="19" t="n">
        <v>3</v>
      </c>
    </row>
    <row r="19">
      <c r="A19" s="4" t="inlineStr">
        <is>
          <t>National minimum wage a month (₦)</t>
        </is>
      </c>
      <c r="B19" s="18" t="n">
        <v>70000</v>
      </c>
    </row>
    <row r="20">
      <c r="A20" s="4" t="inlineStr">
        <is>
          <t>Junior analyst pay a month, low end (₦)</t>
        </is>
      </c>
      <c r="B20" s="18" t="n">
        <v>150000</v>
      </c>
    </row>
    <row r="21">
      <c r="A21" s="3" t="inlineStr">
        <is>
          <t>Each instalment (₦)</t>
        </is>
      </c>
      <c r="B21" s="20">
        <f>B17/B18</f>
        <v>50000</v>
      </c>
    </row>
    <row r="22">
      <c r="A22" s="3" t="inlineStr">
        <is>
          <t>Months of minimum wage to pay for the course</t>
        </is>
      </c>
      <c r="B22" s="21">
        <f>ROUND(B17/B19,1)</f>
        <v>2.1</v>
      </c>
    </row>
    <row r="23">
      <c r="A23" s="3" t="inlineStr">
        <is>
          <t>One instalment as a share of the minimum wage</t>
        </is>
      </c>
      <c r="B23" s="22">
        <f>B17/B18/B19</f>
        <v>0.714285714285714</v>
      </c>
    </row>
    <row r="24">
      <c r="A24" s="3" t="inlineStr">
        <is>
          <t>Months of junior analyst pay to earn the price back</t>
        </is>
      </c>
      <c r="B24" s="21">
        <f>ROUND(B17/B20,1)</f>
        <v>1</v>
      </c>
    </row>
    <row r="25" ht="32" customHeight="1">
      <c r="A25" s="2" t="inlineStr">
        <is>
          <t>So the course is out of reach on the minimum wage, but a junior analyst job earns the price back in about a month: the buyers are people with some income who want a better-paid job.</t>
        </is>
      </c>
      <c r="B25" s="7" t="n"/>
      <c r="C25" s="7" t="n"/>
      <c r="D25" s="7" t="n"/>
    </row>
  </sheetData>
  <mergeCells count="4">
    <mergeCell ref="A1:D1"/>
    <mergeCell ref="A25:D25"/>
    <mergeCell ref="A2:D2"/>
    <mergeCell ref="A15:D15"/>
  </mergeCells>
  <pageMargins left="0.5" right="0.5" top="0.6" bottom="0.6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30" customWidth="1" min="4" max="4"/>
  </cols>
  <sheetData>
    <row r="1" ht="21" customHeight="1">
      <c r="A1" s="1" t="inlineStr">
        <is>
          <t>SOURCES</t>
        </is>
      </c>
    </row>
    <row r="2">
      <c r="A2" s="2" t="inlineStr">
        <is>
          <t>Web sources found on 11 October 2026 and in part 1; figures are as the sources report them. Click a link to open the source.</t>
        </is>
      </c>
    </row>
    <row r="4" ht="22" customHeight="1">
      <c r="A4" s="8" t="inlineStr">
        <is>
          <t>No.</t>
        </is>
      </c>
      <c r="B4" s="8" t="inlineStr">
        <is>
          <t>Who</t>
        </is>
      </c>
      <c r="C4" s="8" t="inlineStr">
        <is>
          <t>What</t>
        </is>
      </c>
      <c r="D4" s="8" t="inlineStr">
        <is>
          <t>Link</t>
        </is>
      </c>
    </row>
    <row r="5" ht="30" customHeight="1">
      <c r="A5" s="10" t="n">
        <v>1</v>
      </c>
      <c r="B5" s="3" t="inlineStr">
        <is>
          <t>World Economic Forum, Future of Jobs Report 2025 (as summarised by Mwanaspoti)</t>
        </is>
      </c>
      <c r="C5" s="4" t="inlineStr">
        <is>
          <t>Networks and cybersecurity is the second fastest-growing skill, after AI and big data</t>
        </is>
      </c>
      <c r="D5" s="23" t="inlineStr">
        <is>
          <t>mwanaspoti.co.tz</t>
        </is>
      </c>
    </row>
    <row r="6" ht="30" customHeight="1">
      <c r="A6" s="10" t="n">
        <v>2</v>
      </c>
      <c r="B6" s="3" t="inlineStr">
        <is>
          <t>ISC2</t>
        </is>
      </c>
      <c r="C6" s="4" t="inlineStr">
        <is>
          <t>2025 Cybersecurity Workforce Study (16,029 professionals, December 2025)</t>
        </is>
      </c>
      <c r="D6" s="23" t="inlineStr">
        <is>
          <t>isc2.org</t>
        </is>
      </c>
    </row>
    <row r="7" ht="30" customHeight="1">
      <c r="A7" s="10" t="n">
        <v>3</v>
      </c>
      <c r="B7" s="3" t="inlineStr">
        <is>
          <t>ISC2</t>
        </is>
      </c>
      <c r="C7" s="4" t="inlineStr">
        <is>
          <t>Women comprise 22 percent of the cybersecurity workforce (March 2025)</t>
        </is>
      </c>
      <c r="D7" s="23" t="inlineStr">
        <is>
          <t>isc2.org</t>
        </is>
      </c>
    </row>
    <row r="8" ht="30" customHeight="1">
      <c r="A8" s="10" t="n">
        <v>4</v>
      </c>
      <c r="B8" s="3" t="inlineStr">
        <is>
          <t>TheCable, reporting the NUC</t>
        </is>
      </c>
      <c r="C8" s="4" t="inlineStr">
        <is>
          <t>NUC: only one percent of Nigerian population in universities</t>
        </is>
      </c>
      <c r="D8" s="23" t="inlineStr">
        <is>
          <t>thecable.ng</t>
        </is>
      </c>
    </row>
    <row r="9" ht="30" customHeight="1">
      <c r="A9" s="10" t="n">
        <v>5</v>
      </c>
      <c r="B9" s="3" t="inlineStr">
        <is>
          <t>Playroll</t>
        </is>
      </c>
      <c r="C9" s="4" t="inlineStr">
        <is>
          <t>Minimum wage in Nigeria in 2026 (National Minimum Wage (Amendment) Act 2024)</t>
        </is>
      </c>
      <c r="D9" s="23" t="inlineStr">
        <is>
          <t>playroll.com</t>
        </is>
      </c>
    </row>
    <row r="10" ht="30" customHeight="1">
      <c r="A10" s="10" t="n">
        <v>6</v>
      </c>
      <c r="B10" s="3" t="inlineStr">
        <is>
          <t>GeoRank, using UN and World Bank data</t>
        </is>
      </c>
      <c r="C10" s="4" t="inlineStr">
        <is>
          <t>Demographics of Nigeria</t>
        </is>
      </c>
      <c r="D10" s="23" t="inlineStr">
        <is>
          <t>georank.org</t>
        </is>
      </c>
    </row>
    <row r="11" ht="30" customHeight="1">
      <c r="A11" s="10" t="n">
        <v>7</v>
      </c>
      <c r="B11" s="3" t="inlineStr">
        <is>
          <t>Google Trends</t>
        </is>
      </c>
      <c r="C11" s="4" t="inlineStr">
        <is>
          <t>Market Research Lab Task 1 screenshots, 28 September 2026: Nigeria, past 12 months, all categories, web search</t>
        </is>
      </c>
      <c r="D11" s="23" t="inlineStr">
        <is>
          <t>trends.google.com</t>
        </is>
      </c>
    </row>
    <row r="12" ht="30" customHeight="1">
      <c r="A12" s="10" t="n">
        <v>8</v>
      </c>
      <c r="B12" s="3" t="inlineStr">
        <is>
          <t>DataReportal</t>
        </is>
      </c>
      <c r="C12" s="4" t="inlineStr">
        <is>
          <t>Digital 2026: Nigeria</t>
        </is>
      </c>
      <c r="D12" s="23" t="inlineStr">
        <is>
          <t>datareportal.com</t>
        </is>
      </c>
    </row>
    <row r="13" ht="30" customHeight="1">
      <c r="A13" s="10" t="n">
        <v>9</v>
      </c>
      <c r="B13" s="3" t="inlineStr">
        <is>
          <t>NapoleonCat</t>
        </is>
      </c>
      <c r="C13" s="4" t="inlineStr">
        <is>
          <t>Social media users in Nigeria, 2026 (Facebook, Instagram, LinkedIn)</t>
        </is>
      </c>
      <c r="D13" s="23" t="inlineStr">
        <is>
          <t>stats.napoleoncat.com</t>
        </is>
      </c>
    </row>
    <row r="14" ht="30" customHeight="1">
      <c r="A14" s="10" t="n">
        <v>10</v>
      </c>
      <c r="B14" s="3" t="inlineStr">
        <is>
          <t>Mobility.com.ng</t>
        </is>
      </c>
      <c r="C14" s="4" t="inlineStr">
        <is>
          <t>Cybersecurity career path: jobs and pay in Nigeria</t>
        </is>
      </c>
      <c r="D14" s="23" t="inlineStr">
        <is>
          <t>mobility.com.ng</t>
        </is>
      </c>
    </row>
    <row r="15" ht="30" customHeight="1">
      <c r="A15" s="10" t="n">
        <v>11</v>
      </c>
      <c r="B15" s="3" t="inlineStr">
        <is>
          <t>Mordor Intelligence</t>
        </is>
      </c>
      <c r="C15" s="4" t="inlineStr">
        <is>
          <t>Nigeria Cybersecurity Market: size and share</t>
        </is>
      </c>
      <c r="D15" s="23" t="inlineStr">
        <is>
          <t>mordorintelligence.com</t>
        </is>
      </c>
    </row>
    <row r="16" ht="30" customHeight="1">
      <c r="A16" s="10" t="n">
        <v>12</v>
      </c>
      <c r="B16" s="3" t="inlineStr">
        <is>
          <t>Security Blue Team</t>
        </is>
      </c>
      <c r="C16" s="4" t="inlineStr">
        <is>
          <t>CyberGirls Fellowship success stories</t>
        </is>
      </c>
      <c r="D16" s="23" t="inlineStr">
        <is>
          <t>securityblue.team</t>
        </is>
      </c>
    </row>
    <row r="17" ht="30" customHeight="1">
      <c r="A17" s="10" t="n">
        <v>13</v>
      </c>
      <c r="B17" s="3" t="inlineStr">
        <is>
          <t>TechCabal</t>
        </is>
      </c>
      <c r="C17" s="4" t="inlineStr">
        <is>
          <t>AltSchool Africa set out to fix education. Now it's learning its own lessons (29 October 2025)</t>
        </is>
      </c>
      <c r="D17" s="23" t="inlineStr">
        <is>
          <t>techcabal.com</t>
        </is>
      </c>
    </row>
    <row r="18" ht="30" customHeight="1">
      <c r="A18" s="10" t="n">
        <v>14</v>
      </c>
      <c r="B18" s="3" t="inlineStr">
        <is>
          <t>Techpoint Africa</t>
        </is>
      </c>
      <c r="C18" s="4" t="inlineStr">
        <is>
          <t>AltSchool Africa Nano-Diploma</t>
        </is>
      </c>
      <c r="D18" s="23" t="inlineStr">
        <is>
          <t>techpoint.africa</t>
        </is>
      </c>
    </row>
    <row r="19" ht="30" customHeight="1">
      <c r="A19" s="10" t="n">
        <v>15</v>
      </c>
      <c r="B19" s="3" t="inlineStr">
        <is>
          <t>Trustpilot</t>
        </is>
      </c>
      <c r="C19" s="4" t="inlineStr">
        <is>
          <t>ALX Africa reviews</t>
        </is>
      </c>
      <c r="D19" s="23" t="inlineStr">
        <is>
          <t>fr.trustpilot.com</t>
        </is>
      </c>
    </row>
    <row r="20" ht="30" customHeight="1">
      <c r="A20" s="10" t="n">
        <v>16</v>
      </c>
      <c r="B20" s="3" t="inlineStr">
        <is>
          <t>Trustpilot</t>
        </is>
      </c>
      <c r="C20" s="4" t="inlineStr">
        <is>
          <t>TryHackMe reviews</t>
        </is>
      </c>
      <c r="D20" s="23" t="inlineStr">
        <is>
          <t>trustpilot.com</t>
        </is>
      </c>
    </row>
    <row r="21" ht="30" customHeight="1">
      <c r="A21" s="10" t="n">
        <v>17</v>
      </c>
      <c r="B21" s="3" t="inlineStr">
        <is>
          <t>Course.careers</t>
        </is>
      </c>
      <c r="C21" s="4" t="inlineStr">
        <is>
          <t>Overview of course reviews: what drives low ratings</t>
        </is>
      </c>
      <c r="D21" s="23" t="inlineStr">
        <is>
          <t>course.careers</t>
        </is>
      </c>
    </row>
    <row r="22" ht="30" customHeight="1">
      <c r="A22" s="10" t="n">
        <v>18</v>
      </c>
      <c r="B22" s="3" t="inlineStr">
        <is>
          <t>vLearnSecurity</t>
        </is>
      </c>
      <c r="C22" s="4" t="inlineStr">
        <is>
          <t>Pricing: 12-week foundational course</t>
        </is>
      </c>
      <c r="D22" s="23" t="inlineStr">
        <is>
          <t>vlearnsecurity.durable.site</t>
        </is>
      </c>
    </row>
    <row r="23" ht="30" customHeight="1">
      <c r="A23" s="10" t="n">
        <v>19</v>
      </c>
      <c r="B23" s="3" t="inlineStr">
        <is>
          <t>ISC2</t>
        </is>
      </c>
      <c r="C23" s="4" t="inlineStr">
        <is>
          <t>One Million Certified in Cybersecurity: conclusion (April 2026)</t>
        </is>
      </c>
      <c r="D23" s="23" t="inlineStr">
        <is>
          <t>isc2.org</t>
        </is>
      </c>
    </row>
    <row r="24" ht="30" customHeight="1">
      <c r="A24" s="10" t="n">
        <v>20</v>
      </c>
      <c r="B24" s="3" t="inlineStr">
        <is>
          <t>Profolio.ng</t>
        </is>
      </c>
      <c r="C24" s="4" t="inlineStr">
        <is>
          <t>How to get a cybersecurity analyst job in Nigeria</t>
        </is>
      </c>
      <c r="D24" s="23" t="inlineStr">
        <is>
          <t>profolio.ng</t>
        </is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</hyperlinks>
  <pageMargins left="0.5" right="0.5" top="0.6" bottom="0.6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Capstone Part 2: Customer Analysis</dc:title>
  <dc:subject xmlns:dc="http://purl.org/dc/elements/1.1/">Customer needs, segments, persona and journey map for CyberStart by SkillUp Academy</dc:subject>
  <dcterms:created xmlns:dcterms="http://purl.org/dc/terms/" xmlns:xsi="http://www.w3.org/2001/XMLSchema-instance" xsi:type="dcterms:W3CDTF">2026-10-11T19:36:51Z</dcterms:created>
  <dcterms:modified xmlns:dcterms="http://purl.org/dc/terms/" xmlns:xsi="http://www.w3.org/2001/XMLSchema-instance" xsi:type="dcterms:W3CDTF">2026-10-11T19:36:51Z</dcterms:modified>
  <cp:lastModifiedBy/>
</cp:coreProperties>
</file>