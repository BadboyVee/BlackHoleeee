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" sheetId="1" state="visible" r:id="rId1"/>
    <sheet xmlns:r="http://schemas.openxmlformats.org/officeDocument/2006/relationships" name="Google Search" sheetId="2" state="visible" r:id="rId2"/>
    <sheet xmlns:r="http://schemas.openxmlformats.org/officeDocument/2006/relationships" name="Google Trends" sheetId="3" state="visible" r:id="rId3"/>
    <sheet xmlns:r="http://schemas.openxmlformats.org/officeDocument/2006/relationships" name="Social Media" sheetId="4" state="visible" r:id="rId4"/>
    <sheet xmlns:r="http://schemas.openxmlformats.org/officeDocument/2006/relationships" name="Reviews" sheetId="5" state="visible" r:id="rId5"/>
    <sheet xmlns:r="http://schemas.openxmlformats.org/officeDocument/2006/relationships" name="Gaps &amp; Opportunitie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rgb="00000000"/>
      <sz val="11"/>
      <scheme val="minor"/>
    </font>
    <font>
      <name val="Calibri"/>
      <family val="2"/>
      <b val="1"/>
      <color rgb="000F766E"/>
      <sz val="14"/>
      <scheme val="minor"/>
    </font>
    <font>
      <name val="Calibri"/>
      <family val="2"/>
      <i val="1"/>
      <color rgb="00404040"/>
      <sz val="11"/>
      <scheme val="minor"/>
    </font>
    <font>
      <name val="Calibri"/>
      <family val="2"/>
      <b val="1"/>
      <color rgb="000F766E"/>
      <sz val="12"/>
      <scheme val="minor"/>
    </font>
    <font>
      <name val="Calibri"/>
      <family val="2"/>
      <b val="1"/>
      <color rgb="00000000"/>
      <sz val="11"/>
      <scheme val="minor"/>
    </font>
    <font>
      <name val="Calibri"/>
      <family val="2"/>
      <b val="1"/>
      <color rgb="00FFFFFF"/>
      <sz val="11"/>
      <scheme val="minor"/>
    </font>
    <font>
      <name val="Calibri"/>
      <family val="2"/>
      <b val="1"/>
      <color rgb="000F766E"/>
      <sz val="11"/>
      <scheme val="minor"/>
    </font>
    <font>
      <name val="Calibri"/>
      <family val="2"/>
      <color rgb="000F766E"/>
      <sz val="11"/>
      <scheme val="minor"/>
    </font>
    <font>
      <name val="Calibri"/>
      <family val="2"/>
      <i val="1"/>
      <color rgb="00595959"/>
      <sz val="9"/>
      <scheme val="minor"/>
    </font>
    <font>
      <name val="Calibri"/>
      <family val="2"/>
      <b val="1"/>
      <color rgb="00000000"/>
      <sz val="12"/>
      <scheme val="minor"/>
    </font>
    <font>
      <name val="Calibri"/>
      <family val="2"/>
      <color rgb="000F766E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  <border>
      <left/>
      <right/>
      <top style="thin">
        <color rgb="00D9DEE3"/>
      </top>
      <bottom/>
      <diagonal/>
    </border>
    <border>
      <left/>
      <right style="thin">
        <color rgb="00D9DEE3"/>
      </right>
      <top style="thin">
        <color rgb="00D9DEE3"/>
      </top>
      <bottom/>
      <diagonal/>
    </border>
    <border>
      <left/>
      <right/>
      <top style="thin">
        <color rgb="00D9DEE3"/>
      </top>
      <bottom style="thin">
        <color rgb="00D9DEE3"/>
      </bottom>
      <diagonal/>
    </border>
    <border>
      <left/>
      <right style="thin">
        <color rgb="00D9DEE3"/>
      </right>
      <top style="thin">
        <color rgb="00D9DEE3"/>
      </top>
      <bottom style="thin">
        <color rgb="00D9DEE3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right" vertical="center" wrapText="1"/>
    </xf>
    <xf numFmtId="165" fontId="4" fillId="0" borderId="1" applyAlignment="1" pivotButton="0" quotePrefix="0" xfId="0">
      <alignment horizontal="right" vertical="center" wrapText="1"/>
    </xf>
    <xf numFmtId="3" fontId="0" fillId="3" borderId="1" applyAlignment="1" pivotButton="0" quotePrefix="0" xfId="0">
      <alignment horizontal="right" vertical="center" wrapText="1"/>
    </xf>
    <xf numFmtId="3" fontId="4" fillId="0" borderId="1" applyAlignment="1" pivotButton="0" quotePrefix="0" xfId="0">
      <alignment horizontal="right" vertical="center" wrapText="1"/>
    </xf>
    <xf numFmtId="164" fontId="0" fillId="3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 indent="1"/>
    </xf>
    <xf numFmtId="9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 indent="1"/>
    </xf>
    <xf numFmtId="0" fontId="0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 indent="1"/>
    </xf>
    <xf numFmtId="0" fontId="9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404040"/>
                </a:solidFill>
                <a:latin typeface="+mn-lt"/>
              </a:defRPr>
            </a:pPr>
            <a:r>
              <a:rPr sz="1300" b="0">
                <a:solidFill>
                  <a:srgbClr val="404040"/>
                </a:solidFill>
                <a:latin typeface="+mn-lt"/>
              </a:rPr>
              <a:t>Nigeria Cybersecurity Market (US$ million)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B7C1CA"/>
            </a:solidFill>
            <a:ln xmlns:a="http://schemas.openxmlformats.org/drawingml/2006/main">
              <a:noFill/>
              <a:prstDash val="solid"/>
            </a:ln>
          </spPr>
          <dPt>
            <idx val="2"/>
            <spPr>
              <a:solidFill xmlns:a="http://schemas.openxmlformats.org/drawingml/2006/main">
                <a:srgbClr val="0F766E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'Market'!$A$49:$A$51</f>
            </numRef>
          </cat>
          <val>
            <numRef>
              <f>'Market'!$B$49:$B$51</f>
            </numRef>
          </val>
        </ser>
        <dLbls>
          <numFmt formatCode="#,##0"/>
          <txPr>
            <a:bodyPr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262626"/>
                  </a:solidFill>
                  <a:latin typeface="+mn-lt"/>
                </a:defRPr>
              </a:pPr>
              <a:r>
                <a:t/>
              </a:r>
              <a:endParaRPr sz="1000" b="1">
                <a:solidFill>
                  <a:srgbClr val="262626"/>
                </a:solidFill>
                <a:latin typeface="+mn-lt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404040"/>
                </a:solidFill>
                <a:latin typeface="+mn-lt"/>
              </a:defRPr>
            </a:pPr>
            <a:r>
              <a:t/>
            </a:r>
            <a:endParaRPr sz="1000" b="0">
              <a:solidFill>
                <a:srgbClr val="404040"/>
              </a:solidFill>
              <a:latin typeface="+mn-lt"/>
            </a:endParaRPr>
          </a:p>
        </txPr>
        <crossAx val="100"/>
        <lblOffset val="100"/>
      </catAx>
      <valAx>
        <axId val="100"/>
        <scaling>
          <orientation val="minMax"/>
          <max val="500"/>
          <min val="0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404040"/>
                </a:solidFill>
                <a:latin typeface="+mn-lt"/>
              </a:defRPr>
            </a:pPr>
            <a:r>
              <a:rPr sz="1300" b="0">
                <a:solidFill>
                  <a:srgbClr val="404040"/>
                </a:solidFill>
                <a:latin typeface="+mn-lt"/>
              </a:rPr>
              <a:t>Average Search Interest, Nigeria, Past 12 Months (0-100)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B7C1CA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0F766E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'Google Trends'!$A$5:$A$9</f>
            </numRef>
          </cat>
          <val>
            <numRef>
              <f>'Google Trends'!$B$5:$B$9</f>
            </numRef>
          </val>
        </ser>
        <dLbls>
          <numFmt formatCode="0"/>
          <txPr>
            <a:bodyPr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262626"/>
                  </a:solidFill>
                  <a:latin typeface="+mn-lt"/>
                </a:defRPr>
              </a:pPr>
              <a:r>
                <a:t/>
              </a:r>
              <a:endParaRPr sz="1000" b="1">
                <a:solidFill>
                  <a:srgbClr val="262626"/>
                </a:solidFill>
                <a:latin typeface="+mn-lt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404040"/>
                </a:solidFill>
                <a:latin typeface="+mn-lt"/>
              </a:defRPr>
            </a:pPr>
            <a:r>
              <a:t/>
            </a:r>
            <a:endParaRPr sz="1000" b="0">
              <a:solidFill>
                <a:srgbClr val="404040"/>
              </a:solidFill>
              <a:latin typeface="+mn-lt"/>
            </a:endParaRPr>
          </a:p>
        </txPr>
        <crossAx val="100"/>
        <lblOffset val="100"/>
      </catAx>
      <valAx>
        <axId val="100"/>
        <scaling>
          <orientation val="minMax"/>
          <max val="50"/>
          <min val="0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404040"/>
                </a:solidFill>
                <a:latin typeface="+mn-lt"/>
              </a:defRPr>
            </a:pPr>
            <a:r>
              <a:rPr sz="1300" b="0">
                <a:solidFill>
                  <a:srgbClr val="404040"/>
                </a:solidFill>
                <a:latin typeface="+mn-lt"/>
              </a:rPr>
              <a:t>Users in Nigeria by Platform (millions)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B7C1CA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0F766E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'Social Media'!$A$5:$A$7</f>
            </numRef>
          </cat>
          <val>
            <numRef>
              <f>'Social Media'!$B$5:$B$7</f>
            </numRef>
          </val>
        </ser>
        <dLbls>
          <numFmt formatCode="0.0"/>
          <txPr>
            <a:bodyPr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262626"/>
                  </a:solidFill>
                  <a:latin typeface="+mn-lt"/>
                </a:defRPr>
              </a:pPr>
              <a:r>
                <a:t/>
              </a:r>
              <a:endParaRPr sz="1000" b="1">
                <a:solidFill>
                  <a:srgbClr val="262626"/>
                </a:solidFill>
                <a:latin typeface="+mn-lt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404040"/>
                </a:solidFill>
                <a:latin typeface="+mn-lt"/>
              </a:defRPr>
            </a:pPr>
            <a:r>
              <a:t/>
            </a:r>
            <a:endParaRPr sz="1000" b="0">
              <a:solidFill>
                <a:srgbClr val="404040"/>
              </a:solidFill>
              <a:latin typeface="+mn-lt"/>
            </a:endParaRPr>
          </a:p>
        </txPr>
        <crossAx val="100"/>
        <lblOffset val="100"/>
      </catAx>
      <valAx>
        <axId val="100"/>
        <scaling>
          <orientation val="minMax"/>
          <max val="50"/>
          <min val="0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404040"/>
                </a:solidFill>
                <a:latin typeface="+mn-lt"/>
              </a:defRPr>
            </a:pPr>
            <a:r>
              <a:rPr sz="1300" b="0">
                <a:solidFill>
                  <a:srgbClr val="404040"/>
                </a:solidFill>
                <a:latin typeface="+mn-lt"/>
              </a:rPr>
              <a:t>Learners on Each Course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B7C1CA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0F766E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'Reviews'!$A$16:$A$19</f>
            </numRef>
          </cat>
          <val>
            <numRef>
              <f>'Reviews'!$D$16:$D$19</f>
            </numRef>
          </val>
        </ser>
        <dLbls>
          <numFmt formatCode="#,##0"/>
          <txPr>
            <a:bodyPr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262626"/>
                  </a:solidFill>
                  <a:latin typeface="+mn-lt"/>
                </a:defRPr>
              </a:pPr>
              <a:r>
                <a:t/>
              </a:r>
              <a:endParaRPr sz="1000" b="1">
                <a:solidFill>
                  <a:srgbClr val="262626"/>
                </a:solidFill>
                <a:latin typeface="+mn-lt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404040"/>
                </a:solidFill>
                <a:latin typeface="+mn-lt"/>
              </a:defRPr>
            </a:pPr>
            <a:r>
              <a:t/>
            </a:r>
            <a:endParaRPr sz="1000" b="0">
              <a:solidFill>
                <a:srgbClr val="404040"/>
              </a:solidFill>
              <a:latin typeface="+mn-lt"/>
            </a:endParaRPr>
          </a:p>
        </txPr>
        <crossAx val="100"/>
        <lblOffset val="100"/>
      </catAx>
      <valAx>
        <axId val="100"/>
        <scaling>
          <orientation val="minMax"/>
          <max val="1600000"/>
          <min val="0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404040"/>
                </a:solidFill>
                <a:latin typeface="+mn-lt"/>
              </a:defRPr>
            </a:pPr>
            <a:r>
              <a:rPr sz="1300" b="0">
                <a:solidFill>
                  <a:srgbClr val="404040"/>
                </a:solidFill>
                <a:latin typeface="+mn-lt"/>
              </a:rPr>
              <a:t>Priority of Each Market Gap (out of 25)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B7C1CA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0F766E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F766E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'Gaps &amp; Opportunities'!$A$5:$A$11</f>
            </numRef>
          </cat>
          <val>
            <numRef>
              <f>'Gaps &amp; Opportunities'!$F$5:$F$11</f>
            </numRef>
          </val>
        </ser>
        <dLbls>
          <numFmt formatCode="0"/>
          <txPr>
            <a:bodyPr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262626"/>
                  </a:solidFill>
                  <a:latin typeface="+mn-lt"/>
                </a:defRPr>
              </a:pPr>
              <a:r>
                <a:t/>
              </a:r>
              <a:endParaRPr sz="1000" b="1">
                <a:solidFill>
                  <a:srgbClr val="262626"/>
                </a:solidFill>
                <a:latin typeface="+mn-lt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404040"/>
                </a:solidFill>
                <a:latin typeface="+mn-lt"/>
              </a:defRPr>
            </a:pPr>
            <a:r>
              <a:t/>
            </a:r>
            <a:endParaRPr sz="1000" b="0">
              <a:solidFill>
                <a:srgbClr val="404040"/>
              </a:solidFill>
              <a:latin typeface="+mn-lt"/>
            </a:endParaRPr>
          </a:p>
        </txPr>
        <crossAx val="100"/>
        <lblOffset val="100"/>
      </catAx>
      <valAx>
        <axId val="100"/>
        <scaling>
          <orientation val="minMax"/>
          <max val="25"/>
          <min val="0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52</row>
      <rowOff>0</rowOff>
    </from>
    <ext cx="57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23</row>
      <rowOff>0</rowOff>
    </from>
    <ext cx="57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28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trends.google.com/trends/" TargetMode="External" Id="rId1"/><Relationship Type="http://schemas.openxmlformats.org/officeDocument/2006/relationships/hyperlink" Target="https://www.mordorintelligence.com/industry-reports/nigeria-cybersecurity-market" TargetMode="External" Id="rId2"/><Relationship Type="http://schemas.openxmlformats.org/officeDocument/2006/relationships/hyperlink" Target="https://datareportal.com/reports/digital-2026-nigeria" TargetMode="External" Id="rId3"/><Relationship Type="http://schemas.openxmlformats.org/officeDocument/2006/relationships/hyperlink" Target="https://stats.napoleoncat.com/social-media-users-in-nigeria/2026/" TargetMode="External" Id="rId4"/><Relationship Type="http://schemas.openxmlformats.org/officeDocument/2006/relationships/hyperlink" Target="https://www.comptia.org/en/blog/nigeria-and-kenya-cybersecurity-skills-gaps-and-the-workforce-opportunity/" TargetMode="External" Id="rId5"/><Relationship Type="http://schemas.openxmlformats.org/officeDocument/2006/relationships/hyperlink" Target="https://businessday.ng/technology/article/nigerian-organisations-recorded-4388-attacks-per-week-in-q1-check-point/" TargetMode="External" Id="rId6"/><Relationship Type="http://schemas.openxmlformats.org/officeDocument/2006/relationships/hyperlink" Target="https://allafrica.com/stories/202604160559.html" TargetMode="External" Id="rId7"/><Relationship Type="http://schemas.openxmlformats.org/officeDocument/2006/relationships/hyperlink" Target="https://businessday.ng/technology/article/top-six-tech-skills-nigerians-need-to-stay-relevant-in-2026/" TargetMode="External" Id="rId8"/><Relationship Type="http://schemas.openxmlformats.org/officeDocument/2006/relationships/hyperlink" Target="https://www.profolio.ng/cybersecurity-analyst/companies-hiring" TargetMode="External" Id="rId9"/><Relationship Type="http://schemas.openxmlformats.org/officeDocument/2006/relationships/hyperlink" Target="https://3mtt.nitda.gov.ng" TargetMode="External" Id="rId10"/><Relationship Type="http://schemas.openxmlformats.org/officeDocument/2006/relationships/hyperlink" Target="https://techcabal.com/2023/10/19/3-million-technical-talent-portal-features-faqs-and-more/" TargetMode="External" Id="rId11"/><Relationship Type="http://schemas.openxmlformats.org/officeDocument/2006/relationships/hyperlink" Target="https://phillipsconsulting.net/courses/certified-iso-27032-cyber-security-lead-manager" TargetMode="External" Id="rId12"/><Relationship Type="http://schemas.openxmlformats.org/officeDocument/2006/relationships/hyperlink" Target="https://radar.techcabal.com/t/cybersecurity-engineering-bootcamp-in-nigeria/15318" TargetMode="External" Id="rId13"/><Relationship Type="http://schemas.openxmlformats.org/officeDocument/2006/relationships/hyperlink" Target="https://www.legit.ng/education/1730778-best-cybersecurity-courses-nigeria-top-universities-fees-how-apply/" TargetMode="External" Id="rId14"/><Relationship Type="http://schemas.openxmlformats.org/officeDocument/2006/relationships/hyperlink" Target="https://www.techneeds.com/2026/03/19/how-to-get-started-in-cyber-security-a-beginners-guide/" TargetMode="External" Id="rId15"/><Relationship Type="http://schemas.openxmlformats.org/officeDocument/2006/relationships/hyperlink" Target="https://businessday.ng/?p=1019597" TargetMode="External" Id="rId16"/><Relationship Type="http://schemas.openxmlformats.org/officeDocument/2006/relationships/hyperlink" Target="https://www.isc2.org/Insights/2026/04/one-million-certified-cyber-conclusion" TargetMode="External" Id="rId17"/><Relationship Type="http://schemas.openxmlformats.org/officeDocument/2006/relationships/hyperlink" Target="https://www.securityblue.team/blog/posts/cybergirls-success-empowering-women-in-cybersecurity" TargetMode="External" Id="rId18"/><Relationship Type="http://schemas.openxmlformats.org/officeDocument/2006/relationships/hyperlink" Target="https://fr.trustpilot.com/review/www.alxafrica.com" TargetMode="External" Id="rId19"/><Relationship Type="http://schemas.openxmlformats.org/officeDocument/2006/relationships/hyperlink" Target="https://www.mctaba.com/learn/africa/alx-africa-review" TargetMode="External" Id="rId20"/><Relationship Type="http://schemas.openxmlformats.org/officeDocument/2006/relationships/hyperlink" Target="https://techcabal.com/2025/10/29/altschool-africa-cracks-on-the-wall/" TargetMode="External" Id="rId21"/><Relationship Type="http://schemas.openxmlformats.org/officeDocument/2006/relationships/hyperlink" Target="https://techpoint.africa/news/altschool-africa-nano-diploma/" TargetMode="External" Id="rId22"/><Relationship Type="http://schemas.openxmlformats.org/officeDocument/2006/relationships/hyperlink" Target="https://www.trustpilot.com/review/tryhackme.com" TargetMode="External" Id="rId23"/><Relationship Type="http://schemas.openxmlformats.org/officeDocument/2006/relationships/hyperlink" Target="https://www.niit.com/nigeria/Pages/about.aspx" TargetMode="External" Id="rId24"/><Relationship Type="http://schemas.openxmlformats.org/officeDocument/2006/relationships/hyperlink" Target="https://www2.ctgoodjobs.hk/Learning/1325138996/udemy/comptia-security--sy0-701-complete-course-practice-exam" TargetMode="External" Id="rId25"/><Relationship Type="http://schemas.openxmlformats.org/officeDocument/2006/relationships/hyperlink" Target="https://www2.ctgoodjobs.hk/Learning/1356753712/udemy/comptia-security--sy0-701-practice-exams-set-1" TargetMode="External" Id="rId26"/><Relationship Type="http://schemas.openxmlformats.org/officeDocument/2006/relationships/hyperlink" Target="https://www.udemy.com/course/the-complete-internet-security-privacy-course-volume-1/" TargetMode="External" Id="rId27"/><Relationship Type="http://schemas.openxmlformats.org/officeDocument/2006/relationships/hyperlink" Target="https://www.coursera.org/google-certificates/google-cybersecurity" TargetMode="External" Id="rId28"/><Relationship Type="http://schemas.openxmlformats.org/officeDocument/2006/relationships/hyperlink" Target="https://www.coursera.org/learn/foundations-of-cybersecurity/reviews" TargetMode="External" Id="rId29"/><Relationship Type="http://schemas.openxmlformats.org/officeDocument/2006/relationships/hyperlink" Target="https://vlearnsecurity.durable.site/pricing" TargetMode="External" Id="rId30"/><Relationship Type="http://schemas.openxmlformats.org/officeDocument/2006/relationships/hyperlink" Target="https://mobility.com.ng/?p=397570" TargetMode="External" Id="rId31"/><Relationship Type="http://schemas.openxmlformats.org/officeDocument/2006/relationships/hyperlink" Target="https://www.profolio.ng/cybersecurity-analyst/how-to-get-a-job" TargetMode="External" Id="rId32"/><Relationship Type="http://schemas.openxmlformats.org/officeDocument/2006/relationships/hyperlink" Target="https://www.nigeriastartupact.ng/apply-for-nitda-capture-the-flag-ctf-competition-2026/" TargetMode="External" Id="rId33"/><Relationship Type="http://schemas.openxmlformats.org/officeDocument/2006/relationships/hyperlink" Target="https://course.careers/course-reviews/overview-reviews-of-courses" TargetMode="External" Id="rId34"/><Relationship Type="http://schemas.openxmlformats.org/officeDocument/2006/relationships/hyperlink" Target="https://iqhashtags.com/hashtags/hashtag/cybersecurity" TargetMode="External" Id="rId35"/><Relationship Type="http://schemas.openxmlformats.org/officeDocument/2006/relationships/hyperlink" Target="https://cybermagazine.com/technology-and-ai/cybersecurity-features-top-10-tech-videos-tiktok" TargetMode="External" Id="rId36"/><Relationship Type="http://schemas.openxmlformats.org/officeDocument/2006/relationships/hyperlink" Target="https://www.datashake.com/datasets/cybersecurity-social-media-dataset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30" customWidth="1" min="5" max="5"/>
  </cols>
  <sheetData>
    <row r="1" ht="21" customHeight="1">
      <c r="A1" s="1" t="inlineStr">
        <is>
          <t>CAPSTONE PROJECT: CYBERSTART BY SKILLUP ACADEMY</t>
        </is>
      </c>
    </row>
    <row r="2">
      <c r="A2" s="2" t="inlineStr">
        <is>
          <t>CyberStart, a 12-week beginner cybersecurity course in Nigeria. Research done on 8 and 9 October 2026.</t>
        </is>
      </c>
    </row>
    <row r="4" ht="20" customHeight="1">
      <c r="A4" s="3" t="inlineStr">
        <is>
          <t>The business and product</t>
        </is>
      </c>
    </row>
    <row r="5">
      <c r="A5" s="4" t="inlineStr">
        <is>
          <t>Business</t>
        </is>
      </c>
      <c r="B5" s="5" t="inlineStr">
        <is>
          <t>SkillUp Academy, a new digital-skills training business in Nigeria.</t>
        </is>
      </c>
      <c r="C5" s="6" t="n"/>
      <c r="D5" s="6" t="n"/>
      <c r="E5" s="6" t="n"/>
    </row>
    <row r="6">
      <c r="A6" s="4" t="inlineStr">
        <is>
          <t>Product</t>
        </is>
      </c>
      <c r="B6" s="5" t="inlineStr">
        <is>
          <t>CyberStart, a 12-week beginner cybersecurity course in Nigeria, for people with no IT background.</t>
        </is>
      </c>
      <c r="C6" s="6" t="n"/>
      <c r="D6" s="6" t="n"/>
      <c r="E6" s="6" t="n"/>
    </row>
    <row r="7">
      <c r="A7" s="4" t="inlineStr">
        <is>
          <t>How it runs</t>
        </is>
      </c>
      <c r="B7" s="5" t="inlineStr">
        <is>
          <t>Live online classes, plus weekend practical labs in Lagos and Abuja.</t>
        </is>
      </c>
      <c r="C7" s="6" t="n"/>
      <c r="D7" s="6" t="n"/>
      <c r="E7" s="6" t="n"/>
    </row>
    <row r="8">
      <c r="A8" s="4" t="inlineStr">
        <is>
          <t>Outcome</t>
        </is>
      </c>
      <c r="B8" s="5" t="inlineStr">
        <is>
          <t>Ready for a first certificate (ISC2 CC or CompTIA Security+) and a first job.</t>
        </is>
      </c>
      <c r="C8" s="6" t="n"/>
      <c r="D8" s="6" t="n"/>
      <c r="E8" s="6" t="n"/>
    </row>
    <row r="9">
      <c r="A9" s="4" t="inlineStr">
        <is>
          <t>Proposed price</t>
        </is>
      </c>
      <c r="B9" s="5" t="inlineStr">
        <is>
          <t>₦150,000, paid in 3 parts of ₦50,000.</t>
        </is>
      </c>
      <c r="C9" s="6" t="n"/>
      <c r="D9" s="6" t="n"/>
      <c r="E9" s="6" t="n"/>
    </row>
    <row r="11" ht="20" customHeight="1">
      <c r="A11" s="3" t="inlineStr">
        <is>
          <t>Defining the market</t>
        </is>
      </c>
    </row>
    <row r="12">
      <c r="A12" s="4" t="inlineStr">
        <is>
          <t>Market</t>
        </is>
      </c>
      <c r="B12" s="5" t="inlineStr">
        <is>
          <t>Beginner cybersecurity training (education services)</t>
        </is>
      </c>
      <c r="C12" s="6" t="n"/>
      <c r="D12" s="6" t="n"/>
      <c r="E12" s="6" t="n"/>
    </row>
    <row r="13">
      <c r="A13" s="4" t="inlineStr">
        <is>
          <t>Customers</t>
        </is>
      </c>
      <c r="B13" s="5" t="inlineStr">
        <is>
          <t>Students, graduates and career changers aged about 18 to 35; employers who sponsor staff</t>
        </is>
      </c>
      <c r="C13" s="6" t="n"/>
      <c r="D13" s="6" t="n"/>
      <c r="E13" s="6" t="n"/>
    </row>
    <row r="14">
      <c r="A14" s="4" t="inlineStr">
        <is>
          <t>Location</t>
        </is>
      </c>
      <c r="B14" s="5" t="inlineStr">
        <is>
          <t>Nigeria: online nationwide, with labs in Lagos and Abuja, where most jobs are</t>
        </is>
      </c>
      <c r="C14" s="6" t="n"/>
      <c r="D14" s="6" t="n"/>
      <c r="E14" s="6" t="n"/>
    </row>
    <row r="15">
      <c r="A15" s="4" t="inlineStr">
        <is>
          <t>Customer need</t>
        </is>
      </c>
      <c r="B15" s="5" t="inlineStr">
        <is>
          <t>A low-cost, practical route into a well-paid cybersecurity job</t>
        </is>
      </c>
      <c r="C15" s="6" t="n"/>
      <c r="D15" s="6" t="n"/>
      <c r="E15" s="6" t="n"/>
    </row>
    <row r="16">
      <c r="A16" s="4" t="inlineStr">
        <is>
          <t>Competition</t>
        </is>
      </c>
      <c r="B16" s="5" t="inlineStr">
        <is>
          <t>Online tech schools, free programmes, course marketplaces and classroom providers</t>
        </is>
      </c>
      <c r="C16" s="6" t="n"/>
      <c r="D16" s="6" t="n"/>
      <c r="E16" s="6" t="n"/>
    </row>
    <row r="18" ht="20" customHeight="1">
      <c r="A18" s="3" t="inlineStr">
        <is>
          <t>The market in numbers</t>
        </is>
      </c>
    </row>
    <row r="19" ht="22" customHeight="1">
      <c r="A19" s="7" t="inlineStr">
        <is>
          <t>Indicator</t>
        </is>
      </c>
      <c r="B19" s="7" t="inlineStr">
        <is>
          <t>Value</t>
        </is>
      </c>
      <c r="C19" s="7" t="inlineStr">
        <is>
          <t>Unit</t>
        </is>
      </c>
      <c r="D19" s="7" t="inlineStr">
        <is>
          <t>When</t>
        </is>
      </c>
      <c r="E19" s="7" t="inlineStr">
        <is>
          <t>Source</t>
        </is>
      </c>
    </row>
    <row r="20">
      <c r="A20" s="5" t="inlineStr">
        <is>
          <t>Nigeria cybersecurity market</t>
        </is>
      </c>
      <c r="B20" s="8" t="n">
        <v>230.03</v>
      </c>
      <c r="C20" s="5" t="inlineStr">
        <is>
          <t>US$ million</t>
        </is>
      </c>
      <c r="D20" s="9" t="inlineStr">
        <is>
          <t>2025</t>
        </is>
      </c>
      <c r="E20" s="5" t="inlineStr">
        <is>
          <t>Mordor Intelligence</t>
        </is>
      </c>
    </row>
    <row r="21">
      <c r="A21" s="5" t="inlineStr">
        <is>
          <t>Nigeria cybersecurity market</t>
        </is>
      </c>
      <c r="B21" s="8" t="n">
        <v>253.77</v>
      </c>
      <c r="C21" s="5" t="inlineStr">
        <is>
          <t>US$ million</t>
        </is>
      </c>
      <c r="D21" s="9" t="inlineStr">
        <is>
          <t>2026</t>
        </is>
      </c>
      <c r="E21" s="5" t="inlineStr">
        <is>
          <t>Mordor Intelligence</t>
        </is>
      </c>
    </row>
    <row r="22">
      <c r="A22" s="5" t="inlineStr">
        <is>
          <t>Nigeria cybersecurity market (forecast)</t>
        </is>
      </c>
      <c r="B22" s="8" t="n">
        <v>414.92</v>
      </c>
      <c r="C22" s="5" t="inlineStr">
        <is>
          <t>US$ million</t>
        </is>
      </c>
      <c r="D22" s="9" t="inlineStr">
        <is>
          <t>2031</t>
        </is>
      </c>
      <c r="E22" s="5" t="inlineStr">
        <is>
          <t>Mordor Intelligence</t>
        </is>
      </c>
    </row>
    <row r="23">
      <c r="A23" s="5" t="inlineStr">
        <is>
          <t>People using the internet</t>
        </is>
      </c>
      <c r="B23" s="10" t="n">
        <v>109</v>
      </c>
      <c r="C23" s="5" t="inlineStr">
        <is>
          <t>million</t>
        </is>
      </c>
      <c r="D23" s="9" t="inlineStr">
        <is>
          <t>End of 2025</t>
        </is>
      </c>
      <c r="E23" s="5" t="inlineStr">
        <is>
          <t>DataReportal</t>
        </is>
      </c>
    </row>
    <row r="24">
      <c r="A24" s="5" t="inlineStr">
        <is>
          <t>Internet penetration</t>
        </is>
      </c>
      <c r="B24" s="11" t="n">
        <v>0.455</v>
      </c>
      <c r="C24" s="5" t="inlineStr">
        <is>
          <t>of the population</t>
        </is>
      </c>
      <c r="D24" s="9" t="inlineStr">
        <is>
          <t>End of 2025</t>
        </is>
      </c>
      <c r="E24" s="5" t="inlineStr">
        <is>
          <t>DataReportal</t>
        </is>
      </c>
    </row>
    <row r="25">
      <c r="A25" s="5" t="inlineStr">
        <is>
          <t>Social media user identities</t>
        </is>
      </c>
      <c r="B25" s="8" t="n">
        <v>47.8</v>
      </c>
      <c r="C25" s="5" t="inlineStr">
        <is>
          <t>million</t>
        </is>
      </c>
      <c r="D25" s="9" t="inlineStr">
        <is>
          <t>October 2025</t>
        </is>
      </c>
      <c r="E25" s="5" t="inlineStr">
        <is>
          <t>DataReportal</t>
        </is>
      </c>
    </row>
    <row r="26">
      <c r="A26" s="5" t="inlineStr">
        <is>
          <t>Cybersecurity professionals in Nigeria</t>
        </is>
      </c>
      <c r="B26" s="10" t="n">
        <v>8352</v>
      </c>
      <c r="C26" s="5" t="inlineStr">
        <is>
          <t>people</t>
        </is>
      </c>
      <c r="D26" s="9" t="inlineStr">
        <is>
          <t>2023</t>
        </is>
      </c>
      <c r="E26" s="5" t="inlineStr">
        <is>
          <t>CompTIA, using ISC2 figures</t>
        </is>
      </c>
    </row>
    <row r="27">
      <c r="A27" s="5" t="inlineStr">
        <is>
          <t>Cybersecurity professionals in South Africa</t>
        </is>
      </c>
      <c r="B27" s="10" t="n">
        <v>57269</v>
      </c>
      <c r="C27" s="5" t="inlineStr">
        <is>
          <t>people</t>
        </is>
      </c>
      <c r="D27" s="9" t="inlineStr">
        <is>
          <t>2023</t>
        </is>
      </c>
      <c r="E27" s="5" t="inlineStr">
        <is>
          <t>CompTIA, using ISC2 figures</t>
        </is>
      </c>
    </row>
    <row r="28">
      <c r="A28" s="5" t="inlineStr">
        <is>
          <t>Banks, finance and insurance share of the market</t>
        </is>
      </c>
      <c r="B28" s="11" t="n">
        <v>0.292</v>
      </c>
      <c r="C28" s="5" t="inlineStr">
        <is>
          <t>of the market</t>
        </is>
      </c>
      <c r="D28" s="9" t="inlineStr">
        <is>
          <t>2025</t>
        </is>
      </c>
      <c r="E28" s="5" t="inlineStr">
        <is>
          <t>Mordor Intelligence</t>
        </is>
      </c>
    </row>
    <row r="29">
      <c r="A29" s="5" t="inlineStr">
        <is>
          <t>Cyber attacks on each Nigerian organisation</t>
        </is>
      </c>
      <c r="B29" s="10" t="n">
        <v>4388</v>
      </c>
      <c r="C29" s="5" t="inlineStr">
        <is>
          <t>a week</t>
        </is>
      </c>
      <c r="D29" s="9" t="inlineStr">
        <is>
          <t>Q1 2025</t>
        </is>
      </c>
      <c r="E29" s="5" t="inlineStr">
        <is>
          <t>BusinessDay, reporting Check Point</t>
        </is>
      </c>
    </row>
    <row r="30">
      <c r="A30" s="5" t="inlineStr">
        <is>
          <t>Rise in attacks on a year before</t>
        </is>
      </c>
      <c r="B30" s="11" t="n">
        <v>0.47</v>
      </c>
      <c r="C30" s="5" t="inlineStr">
        <is>
          <t>growth</t>
        </is>
      </c>
      <c r="D30" s="9" t="inlineStr">
        <is>
          <t>Q1 2025</t>
        </is>
      </c>
      <c r="E30" s="5" t="inlineStr">
        <is>
          <t>BusinessDay, reporting Check Point</t>
        </is>
      </c>
    </row>
    <row r="31">
      <c r="A31" s="5" t="inlineStr">
        <is>
          <t>Tech talents the government aims to train</t>
        </is>
      </c>
      <c r="B31" s="10" t="n">
        <v>3000000</v>
      </c>
      <c r="C31" s="5" t="inlineStr">
        <is>
          <t>people</t>
        </is>
      </c>
      <c r="D31" s="9" t="inlineStr">
        <is>
          <t>By 2027</t>
        </is>
      </c>
      <c r="E31" s="5" t="inlineStr">
        <is>
          <t>Federal Ministry of Communications, Innovation and Digital Economy</t>
        </is>
      </c>
    </row>
    <row r="32">
      <c r="A32" s="4" t="inlineStr">
        <is>
          <t>Yearly growth of the market, 2026 to 2031</t>
        </is>
      </c>
      <c r="B32" s="12">
        <f>(B22/B21)^(1/5)-1</f>
        <v>0.103328452633341</v>
      </c>
      <c r="C32" s="5" t="inlineStr">
        <is>
          <t>a year</t>
        </is>
      </c>
      <c r="D32" s="9" t="inlineStr">
        <is>
          <t>Formula</t>
        </is>
      </c>
      <c r="E32" s="5" t="inlineStr">
        <is>
          <t>Worked out from the rows above</t>
        </is>
      </c>
    </row>
    <row r="33">
      <c r="A33" s="4" t="inlineStr">
        <is>
          <t>Experts in South Africa for each one in Nigeria</t>
        </is>
      </c>
      <c r="B33" s="13">
        <f>ROUND(B27/B26,1)</f>
        <v>6.9</v>
      </c>
      <c r="C33" s="5" t="inlineStr">
        <is>
          <t>times</t>
        </is>
      </c>
      <c r="D33" s="9" t="inlineStr">
        <is>
          <t>Formula</t>
        </is>
      </c>
      <c r="E33" s="5" t="inlineStr">
        <is>
          <t>Worked out from the rows above</t>
        </is>
      </c>
    </row>
    <row r="35" ht="20" customHeight="1">
      <c r="A35" s="3" t="inlineStr">
        <is>
          <t>Market size estimate (change the yellow cells to test other cases)</t>
        </is>
      </c>
    </row>
    <row r="36" ht="22" customHeight="1">
      <c r="A36" s="7" t="inlineStr">
        <is>
          <t>Step</t>
        </is>
      </c>
      <c r="B36" s="7" t="inlineStr">
        <is>
          <t>Figure</t>
        </is>
      </c>
      <c r="C36" s="7" t="inlineStr">
        <is>
          <t>How</t>
        </is>
      </c>
      <c r="D36" s="6" t="n"/>
      <c r="E36" s="6" t="n"/>
    </row>
    <row r="37">
      <c r="A37" s="5" t="inlineStr">
        <is>
          <t>Tech talents Nigeria aims to train by 2027 (3MTT)</t>
        </is>
      </c>
      <c r="B37" s="14" t="n">
        <v>3000000</v>
      </c>
      <c r="C37" s="5" t="inlineStr">
        <is>
          <t>Government target (3MTT)</t>
        </is>
      </c>
      <c r="D37" s="6" t="n"/>
      <c r="E37" s="6" t="n"/>
    </row>
    <row r="38">
      <c r="A38" s="5" t="inlineStr">
        <is>
          <t>Technical skills in 3MTT, one of them cybersecurity</t>
        </is>
      </c>
      <c r="B38" s="14" t="n">
        <v>12</v>
      </c>
      <c r="C38" s="5" t="inlineStr">
        <is>
          <t>TechCabal: the twelve 3MTT skills</t>
        </is>
      </c>
      <c r="D38" s="6" t="n"/>
      <c r="E38" s="6" t="n"/>
    </row>
    <row r="39">
      <c r="A39" s="4" t="inlineStr">
        <is>
          <t>Potential cybersecurity learners</t>
        </is>
      </c>
      <c r="B39" s="15">
        <f>B37/B38</f>
        <v>250000</v>
      </c>
      <c r="C39" s="5" t="inlineStr">
        <is>
          <t>Target ÷ number of skills</t>
        </is>
      </c>
      <c r="D39" s="6" t="n"/>
      <c r="E39" s="6" t="n"/>
    </row>
    <row r="40">
      <c r="A40" s="5" t="inlineStr">
        <is>
          <t>Share we can reach who can pay</t>
        </is>
      </c>
      <c r="B40" s="16" t="n">
        <v>0.3</v>
      </c>
      <c r="C40" s="5" t="inlineStr">
        <is>
          <t>Assumption: online plus Lagos and Abuja</t>
        </is>
      </c>
      <c r="D40" s="6" t="n"/>
      <c r="E40" s="6" t="n"/>
    </row>
    <row r="41">
      <c r="A41" s="4" t="inlineStr">
        <is>
          <t>Serviceable market (learners)</t>
        </is>
      </c>
      <c r="B41" s="15">
        <f>B39*B40</f>
        <v>75000</v>
      </c>
      <c r="C41" s="5" t="inlineStr">
        <is>
          <t>Potential learners × share</t>
        </is>
      </c>
      <c r="D41" s="6" t="n"/>
      <c r="E41" s="6" t="n"/>
    </row>
    <row r="42">
      <c r="A42" s="5" t="inlineStr">
        <is>
          <t>Share we can win in year 1</t>
        </is>
      </c>
      <c r="B42" s="16" t="n">
        <v>0.005</v>
      </c>
      <c r="C42" s="5" t="inlineStr">
        <is>
          <t>Assumption: a new, small academy</t>
        </is>
      </c>
      <c r="D42" s="6" t="n"/>
      <c r="E42" s="6" t="n"/>
    </row>
    <row r="43">
      <c r="A43" s="4" t="inlineStr">
        <is>
          <t>Learners in year 1</t>
        </is>
      </c>
      <c r="B43" s="15">
        <f>B41*B42</f>
        <v>375</v>
      </c>
      <c r="C43" s="5" t="inlineStr">
        <is>
          <t>Serviceable market × share</t>
        </is>
      </c>
      <c r="D43" s="6" t="n"/>
      <c r="E43" s="6" t="n"/>
    </row>
    <row r="44">
      <c r="A44" s="5" t="inlineStr">
        <is>
          <t>Price per learner (₦)</t>
        </is>
      </c>
      <c r="B44" s="14" t="n">
        <v>150000</v>
      </c>
      <c r="C44" s="5" t="inlineStr">
        <is>
          <t>Assumption, from the price research</t>
        </is>
      </c>
      <c r="D44" s="6" t="n"/>
      <c r="E44" s="6" t="n"/>
    </row>
    <row r="45">
      <c r="A45" s="4" t="inlineStr">
        <is>
          <t>Revenue in year 1 (₦)</t>
        </is>
      </c>
      <c r="B45" s="15">
        <f>B43*B44</f>
        <v>56250000</v>
      </c>
      <c r="C45" s="5" t="inlineStr">
        <is>
          <t>Learners × price</t>
        </is>
      </c>
      <c r="D45" s="6" t="n"/>
      <c r="E45" s="6" t="n"/>
    </row>
    <row r="47" ht="20" customHeight="1">
      <c r="A47" s="3" t="inlineStr">
        <is>
          <t>Market size, US$ million (Mordor Intelligence)</t>
        </is>
      </c>
    </row>
    <row r="48" ht="22" customHeight="1">
      <c r="A48" s="7" t="inlineStr">
        <is>
          <t>Year</t>
        </is>
      </c>
      <c r="B48" s="7" t="inlineStr">
        <is>
          <t>US$ million</t>
        </is>
      </c>
    </row>
    <row r="49">
      <c r="A49" s="5" t="inlineStr">
        <is>
          <t>2025</t>
        </is>
      </c>
      <c r="B49" s="10">
        <f>B20</f>
        <v>230.03</v>
      </c>
    </row>
    <row r="50">
      <c r="A50" s="5" t="inlineStr">
        <is>
          <t>2026</t>
        </is>
      </c>
      <c r="B50" s="10">
        <f>B21</f>
        <v>253.77</v>
      </c>
    </row>
    <row r="51">
      <c r="A51" s="5" t="inlineStr">
        <is>
          <t>2031 (forecast)</t>
        </is>
      </c>
      <c r="B51" s="10">
        <f>B22</f>
        <v>414.92</v>
      </c>
    </row>
  </sheetData>
  <mergeCells count="27">
    <mergeCell ref="B9:E9"/>
    <mergeCell ref="C44:E44"/>
    <mergeCell ref="C41:E41"/>
    <mergeCell ref="B6:E6"/>
    <mergeCell ref="C40:E40"/>
    <mergeCell ref="A11:E11"/>
    <mergeCell ref="B15:E15"/>
    <mergeCell ref="A1:E1"/>
    <mergeCell ref="B5:E5"/>
    <mergeCell ref="C43:E43"/>
    <mergeCell ref="C36:E36"/>
    <mergeCell ref="C39:E39"/>
    <mergeCell ref="B16:E16"/>
    <mergeCell ref="B7:E7"/>
    <mergeCell ref="A18:E18"/>
    <mergeCell ref="C38:E38"/>
    <mergeCell ref="A2:E2"/>
    <mergeCell ref="C37:E37"/>
    <mergeCell ref="B12:E12"/>
    <mergeCell ref="A47:E47"/>
    <mergeCell ref="B14:E14"/>
    <mergeCell ref="C42:E42"/>
    <mergeCell ref="A35:E35"/>
    <mergeCell ref="A4:E4"/>
    <mergeCell ref="B8:E8"/>
    <mergeCell ref="B13:E13"/>
    <mergeCell ref="C45:E45"/>
  </mergeCells>
  <pageMargins left="0.5" right="0.5" top="0.6" bottom="0.6" header="0.3" footer="0.3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40" customWidth="1" min="3" max="3"/>
  </cols>
  <sheetData>
    <row r="1" ht="21" customHeight="1">
      <c r="A1" s="1" t="inlineStr">
        <is>
          <t>GOOGLE SEARCH: WHAT CUSTOMERS FIND</t>
        </is>
      </c>
    </row>
    <row r="2">
      <c r="A2" s="2" t="inlineStr">
        <is>
          <t>Five searches a customer would make, run on 9 October 2026. Run them again on Google to add screenshots.</t>
        </is>
      </c>
    </row>
    <row r="4" ht="30" customHeight="1">
      <c r="A4" s="7" t="inlineStr">
        <is>
          <t>Search</t>
        </is>
      </c>
      <c r="B4" s="7" t="inlineStr">
        <is>
          <t>What came up</t>
        </is>
      </c>
      <c r="C4" s="7" t="inlineStr">
        <is>
          <t>What it tells us</t>
        </is>
      </c>
    </row>
    <row r="5" ht="48" customHeight="1">
      <c r="A5" s="4" t="inlineStr">
        <is>
          <t>“cybersecurity course fees in Nigeria”</t>
        </is>
      </c>
      <c r="B5" s="5" t="inlineStr">
        <is>
          <t>Course lists, a bootcamp in US dollars, university pages; one local 12-week course asks ₦100,000 first, then instalments</t>
        </is>
      </c>
      <c r="C5" s="5" t="inlineStr">
        <is>
          <t>Naira prices are hard to find; rivals let people pay in parts</t>
        </is>
      </c>
    </row>
    <row r="6" ht="48" customHeight="1">
      <c r="A6" s="4" t="inlineStr">
        <is>
          <t>“free cybersecurity training for Nigerians”</t>
        </is>
      </c>
      <c r="B6" s="5" t="inlineStr">
        <is>
          <t>NITDA and Cisco free courses, women's programmes, a 2026 capture-the-flag contest; most have closed</t>
        </is>
      </c>
      <c r="C6" s="5" t="inlineStr">
        <is>
          <t>Free programmes are popular but short and soon full</t>
        </is>
      </c>
    </row>
    <row r="7" ht="48" customHeight="1">
      <c r="A7" s="4" t="inlineStr">
        <is>
          <t>“how to start a career in cybersecurity in Nigeria”</t>
        </is>
      </c>
      <c r="B7" s="5" t="inlineStr">
        <is>
          <t>Beginner guides, a paid e-book, a campus event, job guides: Security+ first, labs on TryHackMe</t>
        </is>
      </c>
      <c r="C7" s="5" t="inlineStr">
        <is>
          <t>Beginners want a clear, step-by-step path</t>
        </is>
      </c>
    </row>
    <row r="8" ht="48" customHeight="1">
      <c r="A8" s="4" t="inlineStr">
        <is>
          <t>“cybersecurity jobs in Nigeria salary”</t>
        </is>
      </c>
      <c r="B8" s="5" t="inlineStr">
        <is>
          <t>Pay guides: junior analysts about ₦150,000 to ₦300,000 a month; jobs mostly in Lagos and Abuja</t>
        </is>
      </c>
      <c r="C8" s="5" t="inlineStr">
        <is>
          <t>People search with a job in mind</t>
        </is>
      </c>
    </row>
    <row r="9" ht="48" customHeight="1">
      <c r="A9" s="4" t="inlineStr">
        <is>
          <t>“Nigeria cybersecurity market size”</t>
        </is>
      </c>
      <c r="B9" s="5" t="inlineStr">
        <is>
          <t>Market reports: about US$230 million in 2025, growing about 10% a year</t>
        </is>
      </c>
      <c r="C9" s="5" t="inlineStr">
        <is>
          <t>The market is growing</t>
        </is>
      </c>
    </row>
    <row r="11" ht="20" customHeight="1">
      <c r="A11" s="3" t="inlineStr">
        <is>
          <t>Prices found</t>
        </is>
      </c>
    </row>
    <row r="12" ht="22" customHeight="1">
      <c r="A12" s="7" t="inlineStr">
        <is>
          <t>Provider</t>
        </is>
      </c>
      <c r="B12" s="7" t="inlineStr">
        <is>
          <t>Offer</t>
        </is>
      </c>
      <c r="C12" s="7" t="inlineStr">
        <is>
          <t>Price and length</t>
        </is>
      </c>
    </row>
    <row r="13" ht="22" customHeight="1">
      <c r="A13" s="4" t="inlineStr">
        <is>
          <t>vLearnSecurity</t>
        </is>
      </c>
      <c r="B13" s="5" t="inlineStr">
        <is>
          <t>12-week foundational course, online</t>
        </is>
      </c>
      <c r="C13" s="5" t="inlineStr">
        <is>
          <t>₦100,000 first payment, then instalments (12 weeks)</t>
        </is>
      </c>
    </row>
    <row r="14" ht="22" customHeight="1">
      <c r="A14" s="4" t="inlineStr">
        <is>
          <t>Phillips Consulting</t>
        </is>
      </c>
      <c r="B14" s="5" t="inlineStr">
        <is>
          <t>ISO 27032 Lead Manager, classroom (Lagos)</t>
        </is>
      </c>
      <c r="C14" s="5" t="inlineStr">
        <is>
          <t>₦250,000 + US$500 exam (5 days)</t>
        </is>
      </c>
    </row>
    <row r="15" ht="22" customHeight="1">
      <c r="A15" s="4" t="inlineStr">
        <is>
          <t>Cybersecurity bootcamp</t>
        </is>
      </c>
      <c r="B15" s="5" t="inlineStr">
        <is>
          <t>Specialist tracks, online</t>
        </is>
      </c>
      <c r="C15" s="5" t="inlineStr">
        <is>
          <t>US$1,000 to US$2,850 (per track)</t>
        </is>
      </c>
    </row>
    <row r="16" ht="22" customHeight="1">
      <c r="A16" s="4" t="inlineStr">
        <is>
          <t>Coursera (Google certificate)</t>
        </is>
      </c>
      <c r="B16" s="5" t="inlineStr">
        <is>
          <t>Coursera Plus, Nigeria price</t>
        </is>
      </c>
      <c r="C16" s="5" t="inlineStr">
        <is>
          <t>US$24 a month (self-paced)</t>
        </is>
      </c>
    </row>
    <row r="17" ht="22" customHeight="1">
      <c r="A17" s="4" t="inlineStr">
        <is>
          <t>Cisco, NITDA, CyberGirls</t>
        </is>
      </c>
      <c r="B17" s="5" t="inlineStr">
        <is>
          <t>Free courses, contests and fellowships</t>
        </is>
      </c>
      <c r="C17" s="5" t="inlineStr">
        <is>
          <t>Free (varies)</t>
        </is>
      </c>
    </row>
    <row r="18">
      <c r="A18" s="17" t="inlineStr">
        <is>
          <t>CyberStart (proposed)</t>
        </is>
      </c>
      <c r="B18" s="18" t="inlineStr">
        <is>
          <t>12-week beginner course: live classes and weekly labs</t>
        </is>
      </c>
      <c r="C18" s="17" t="inlineStr">
        <is>
          <t>₦150,000 in 3 parts</t>
        </is>
      </c>
    </row>
  </sheetData>
  <mergeCells count="3">
    <mergeCell ref="A1:C1"/>
    <mergeCell ref="A11:C11"/>
    <mergeCell ref="A2:C2"/>
  </mergeCells>
  <pageMargins left="0.5" right="0.5" top="0.6" bottom="0.6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6" customWidth="1" min="4" max="4"/>
    <col width="40" customWidth="1" min="5" max="5"/>
  </cols>
  <sheetData>
    <row r="1" ht="21" customHeight="1">
      <c r="A1" s="1" t="inlineStr">
        <is>
          <t>GOOGLE TRENDS: SEARCH INTEREST IN DIGITAL SKILLS</t>
        </is>
      </c>
    </row>
    <row r="2">
      <c r="A2" s="2" t="inlineStr">
        <is>
          <t>Nigeria, past 12 months (28 September 2025 to 28 September 2026); all categories, web search (Market Research Lab Task 1 screenshots).</t>
        </is>
      </c>
    </row>
    <row r="4" ht="30" customHeight="1">
      <c r="A4" s="7" t="inlineStr">
        <is>
          <t>Search term</t>
        </is>
      </c>
      <c r="B4" s="7" t="inlineStr">
        <is>
          <t>Average interest (0-100)</t>
        </is>
      </c>
      <c r="C4" s="7" t="inlineStr">
        <is>
          <t>Rank</t>
        </is>
      </c>
      <c r="D4" s="7" t="inlineStr">
        <is>
          <t>Share of the five</t>
        </is>
      </c>
    </row>
    <row r="5">
      <c r="A5" s="4" t="inlineStr">
        <is>
          <t>Cybersecurity</t>
        </is>
      </c>
      <c r="B5" s="9" t="n">
        <v>43</v>
      </c>
      <c r="C5" s="9">
        <f>RANK(B5,$B$5:$B$9)</f>
        <v>1</v>
      </c>
      <c r="D5" s="19">
        <f>B5/SUM($B$5:$B$9)</f>
        <v>0.358333333333333</v>
      </c>
    </row>
    <row r="6">
      <c r="A6" s="4" t="inlineStr">
        <is>
          <t>Digital Marketing</t>
        </is>
      </c>
      <c r="B6" s="9" t="n">
        <v>33</v>
      </c>
      <c r="C6" s="9">
        <f>RANK(B6,$B$5:$B$9)</f>
        <v>2</v>
      </c>
      <c r="D6" s="19">
        <f>B6/SUM($B$5:$B$9)</f>
        <v>0.275</v>
      </c>
    </row>
    <row r="7">
      <c r="A7" s="4" t="inlineStr">
        <is>
          <t>Data Analytics</t>
        </is>
      </c>
      <c r="B7" s="9" t="n">
        <v>18</v>
      </c>
      <c r="C7" s="9">
        <f>RANK(B7,$B$5:$B$9)</f>
        <v>3</v>
      </c>
      <c r="D7" s="19">
        <f>B7/SUM($B$5:$B$9)</f>
        <v>0.15</v>
      </c>
    </row>
    <row r="8">
      <c r="A8" s="4" t="inlineStr">
        <is>
          <t>GenAI &amp; Prompt Engineering</t>
        </is>
      </c>
      <c r="B8" s="9" t="n">
        <v>13</v>
      </c>
      <c r="C8" s="9">
        <f>RANK(B8,$B$5:$B$9)</f>
        <v>4</v>
      </c>
      <c r="D8" s="19">
        <f>B8/SUM($B$5:$B$9)</f>
        <v>0.108333333333333</v>
      </c>
    </row>
    <row r="9">
      <c r="A9" s="4" t="inlineStr">
        <is>
          <t>Web Development</t>
        </is>
      </c>
      <c r="B9" s="9" t="n">
        <v>13</v>
      </c>
      <c r="C9" s="9">
        <f>RANK(B9,$B$5:$B$9)</f>
        <v>4</v>
      </c>
      <c r="D9" s="19">
        <f>B9/SUM($B$5:$B$9)</f>
        <v>0.108333333333333</v>
      </c>
    </row>
    <row r="11" ht="20" customHeight="1">
      <c r="A11" s="3" t="inlineStr">
        <is>
          <t>What Google Trends shows</t>
        </is>
      </c>
    </row>
    <row r="12" ht="32" customHeight="1">
      <c r="A12" s="4" t="inlineStr">
        <is>
          <t>Highest interest</t>
        </is>
      </c>
      <c r="B12" s="5" t="inlineStr">
        <is>
          <t>Cybersecurity led almost all year.</t>
        </is>
      </c>
      <c r="C12" s="6" t="n"/>
      <c r="D12" s="6" t="n"/>
      <c r="E12" s="6" t="n"/>
    </row>
    <row r="13" ht="32" customHeight="1">
      <c r="A13" s="4" t="inlineStr">
        <is>
          <t>Peak</t>
        </is>
      </c>
      <c r="B13" s="5" t="inlineStr">
        <is>
          <t>it hit 100 in April 2026, when the CAC confirmed a cyber breach.</t>
        </is>
      </c>
      <c r="C13" s="6" t="n"/>
      <c r="D13" s="6" t="n"/>
      <c r="E13" s="6" t="n"/>
    </row>
    <row r="14" ht="32" customHeight="1">
      <c r="A14" s="4" t="inlineStr">
        <is>
          <t>Where</t>
        </is>
      </c>
      <c r="B14" s="5" t="inlineStr">
        <is>
          <t>the most searched skill in most states, especially in the north and the middle.</t>
        </is>
      </c>
      <c r="C14" s="6" t="n"/>
      <c r="D14" s="6" t="n"/>
      <c r="E14" s="6" t="n"/>
    </row>
    <row r="15" ht="32" customHeight="1">
      <c r="A15" s="4" t="inlineStr">
        <is>
          <t>Rising searches</t>
        </is>
      </c>
      <c r="B15" s="5" t="inlineStr">
        <is>
          <t>“cac cybersecurity breach”, “cybersecurity news today”, “lagos cybersecurity guidelines”.</t>
        </is>
      </c>
      <c r="C15" s="6" t="n"/>
      <c r="D15" s="6" t="n"/>
      <c r="E15" s="6" t="n"/>
    </row>
    <row r="16" ht="32" customHeight="1">
      <c r="A16" s="4" t="inlineStr">
        <is>
          <t>Free courses</t>
        </is>
      </c>
      <c r="B16" s="5" t="inlineStr">
        <is>
          <t>other skills' rising searches include “google prompt engineering course free” and “cisco data analytics free course”.</t>
        </is>
      </c>
      <c r="C16" s="6" t="n"/>
      <c r="D16" s="6" t="n"/>
      <c r="E16" s="6" t="n"/>
    </row>
  </sheetData>
  <mergeCells count="8">
    <mergeCell ref="A2:E2"/>
    <mergeCell ref="B12:E12"/>
    <mergeCell ref="B13:E13"/>
    <mergeCell ref="B16:E16"/>
    <mergeCell ref="A11:E11"/>
    <mergeCell ref="B15:E15"/>
    <mergeCell ref="A1:E1"/>
    <mergeCell ref="B14:E14"/>
  </mergeCells>
  <pageMargins left="0.5" right="0.5" top="0.6" bottom="0.6" header="0.3" footer="0.3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56" customWidth="1" min="5" max="5"/>
  </cols>
  <sheetData>
    <row r="1" ht="21" customHeight="1">
      <c r="A1" s="1" t="inlineStr">
        <is>
          <t>SOCIAL MEDIA TRENDS</t>
        </is>
      </c>
    </row>
    <row r="2">
      <c r="A2" s="2" t="inlineStr">
        <is>
          <t>Where the audience is in Nigeria, and how people talk about cybersecurity online.</t>
        </is>
      </c>
    </row>
    <row r="4" ht="30" customHeight="1">
      <c r="A4" s="7" t="inlineStr">
        <is>
          <t>Platform</t>
        </is>
      </c>
      <c r="B4" s="7" t="inlineStr">
        <is>
          <t>Users (millions)</t>
        </is>
      </c>
      <c r="C4" s="7" t="inlineStr">
        <is>
          <t>Share of the population</t>
        </is>
      </c>
      <c r="D4" s="7" t="inlineStr">
        <is>
          <t>When</t>
        </is>
      </c>
      <c r="E4" s="7" t="inlineStr">
        <is>
          <t>Source</t>
        </is>
      </c>
    </row>
    <row r="5">
      <c r="A5" s="4" t="inlineStr">
        <is>
          <t>Facebook</t>
        </is>
      </c>
      <c r="B5" s="20" t="n">
        <v>42.057</v>
      </c>
      <c r="C5" s="21" t="n">
        <v>0.172</v>
      </c>
      <c r="D5" s="9" t="inlineStr">
        <is>
          <t>September 2026</t>
        </is>
      </c>
      <c r="E5" s="5" t="inlineStr">
        <is>
          <t>NapoleonCat</t>
        </is>
      </c>
    </row>
    <row r="6">
      <c r="A6" s="4" t="inlineStr">
        <is>
          <t>LinkedIn</t>
        </is>
      </c>
      <c r="B6" s="20" t="n">
        <v>14.04</v>
      </c>
      <c r="C6" s="21" t="n">
        <v>0.058</v>
      </c>
      <c r="D6" s="9" t="inlineStr">
        <is>
          <t>July 2026</t>
        </is>
      </c>
      <c r="E6" s="5" t="inlineStr">
        <is>
          <t>NapoleonCat</t>
        </is>
      </c>
    </row>
    <row r="7">
      <c r="A7" s="4" t="inlineStr">
        <is>
          <t>Instagram</t>
        </is>
      </c>
      <c r="B7" s="20" t="n">
        <v>9.6098</v>
      </c>
      <c r="C7" s="21" t="n">
        <v>0.04</v>
      </c>
      <c r="D7" s="9" t="inlineStr">
        <is>
          <t>June 2026</t>
        </is>
      </c>
      <c r="E7" s="5" t="inlineStr">
        <is>
          <t>NapoleonCat</t>
        </is>
      </c>
    </row>
    <row r="8">
      <c r="A8" s="4" t="inlineStr">
        <is>
          <t>Largest platform</t>
        </is>
      </c>
      <c r="B8" s="22" t="str">
        <f>INDEX(A5:A7,MATCH(MAX(B5:B7),B5:B7,0))</f>
        <v>Facebook</v>
      </c>
    </row>
    <row r="10" ht="20" customHeight="1">
      <c r="A10" s="3" t="inlineStr">
        <is>
          <t>Social media trends</t>
        </is>
      </c>
    </row>
    <row r="11" ht="22" customHeight="1">
      <c r="A11" s="7" t="inlineStr">
        <is>
          <t>Platform</t>
        </is>
      </c>
      <c r="B11" s="7" t="inlineStr">
        <is>
          <t>What we found</t>
        </is>
      </c>
      <c r="C11" s="6" t="n"/>
      <c r="D11" s="6" t="n"/>
      <c r="E11" s="6" t="n"/>
    </row>
    <row r="12" ht="32" customHeight="1">
      <c r="A12" s="4" t="inlineStr">
        <is>
          <t>All platforms</t>
        </is>
      </c>
      <c r="B12" s="5" t="inlineStr">
        <is>
          <t>47.8 million social media user identities in Nigeria (October 2025) (DataReportal)</t>
        </is>
      </c>
      <c r="C12" s="6" t="n"/>
      <c r="D12" s="6" t="n"/>
      <c r="E12" s="6" t="n"/>
    </row>
    <row r="13" ht="32" customHeight="1">
      <c r="A13" s="4" t="inlineStr">
        <is>
          <t>Instagram</t>
        </is>
      </c>
      <c r="B13" s="5" t="inlineStr">
        <is>
          <t>#cybersecurity has about 3 to 5 million posts (trackers' estimates differ) (IQHashtags)</t>
        </is>
      </c>
      <c r="C13" s="6" t="n"/>
      <c r="D13" s="6" t="n"/>
      <c r="E13" s="6" t="n"/>
    </row>
    <row r="14" ht="32" customHeight="1">
      <c r="A14" s="4" t="inlineStr">
        <is>
          <t>TikTok</t>
        </is>
      </c>
      <c r="B14" s="5" t="inlineStr">
        <is>
          <t>Cybersecurity was one of the top 10 tech topics on TikTok, with 349.1 million views (2021) (Cyber Magazine)</t>
        </is>
      </c>
      <c r="C14" s="6" t="n"/>
      <c r="D14" s="6" t="n"/>
      <c r="E14" s="6" t="n"/>
    </row>
    <row r="15" ht="32" customHeight="1">
      <c r="A15" s="4" t="inlineStr">
        <is>
          <t>Across 8 networks</t>
        </is>
      </c>
      <c r="B15" s="5" t="inlineStr">
        <is>
          <t>505,330 mentions and 558.6 million views about cybersecurity, 2022 to 2026 (vendor figures) (Datashake)</t>
        </is>
      </c>
      <c r="C15" s="6" t="n"/>
      <c r="D15" s="6" t="n"/>
      <c r="E15" s="6" t="n"/>
    </row>
    <row r="16" ht="32" customHeight="1">
      <c r="A16" s="4" t="inlineStr">
        <is>
          <t>X</t>
        </is>
      </c>
      <c r="B16" s="5" t="inlineStr">
        <is>
          <t>Learners use X to complain in public: AltSchool Africa faced a wave of criticism in October 2025 (TechCabal)</t>
        </is>
      </c>
      <c r="C16" s="6" t="n"/>
      <c r="D16" s="6" t="n"/>
      <c r="E16" s="6" t="n"/>
    </row>
  </sheetData>
  <mergeCells count="9">
    <mergeCell ref="A2:E2"/>
    <mergeCell ref="B12:E12"/>
    <mergeCell ref="A10:E10"/>
    <mergeCell ref="B13:E13"/>
    <mergeCell ref="B16:E16"/>
    <mergeCell ref="B15:E15"/>
    <mergeCell ref="A1:E1"/>
    <mergeCell ref="B11:E11"/>
    <mergeCell ref="B14:E14"/>
  </mergeCells>
  <pageMargins left="0.5" right="0.5" top="0.6" bottom="0.6" header="0.3" footer="0.3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6" customWidth="1" min="4" max="4"/>
    <col width="40" customWidth="1" min="5" max="5"/>
    <col width="44" customWidth="1" min="6" max="6"/>
  </cols>
  <sheetData>
    <row r="1" ht="21" customHeight="1">
      <c r="A1" s="1" t="inlineStr">
        <is>
          <t>COMPETITOR AND MARKETPLACE REVIEWS</t>
        </is>
      </c>
    </row>
    <row r="2">
      <c r="A2" s="2" t="inlineStr">
        <is>
          <t>What learners say about the rivals and about the top cybersecurity courses on Udemy and Coursera.</t>
        </is>
      </c>
    </row>
    <row r="4" ht="20" customHeight="1">
      <c r="A4" s="3" t="inlineStr">
        <is>
          <t>Competitor reviews</t>
        </is>
      </c>
    </row>
    <row r="5" ht="30" customHeight="1">
      <c r="A5" s="7" t="inlineStr">
        <is>
          <t>Competitor</t>
        </is>
      </c>
      <c r="B5" s="7" t="inlineStr">
        <is>
          <t>Rating (of 5)</t>
        </is>
      </c>
      <c r="C5" s="7" t="inlineStr">
        <is>
          <t>Offer</t>
        </is>
      </c>
      <c r="D5" s="7" t="inlineStr">
        <is>
          <t>Rating from</t>
        </is>
      </c>
      <c r="E5" s="7" t="inlineStr">
        <is>
          <t>What learners like</t>
        </is>
      </c>
      <c r="F5" s="7" t="inlineStr">
        <is>
          <t>What learners complain about</t>
        </is>
      </c>
    </row>
    <row r="6" ht="46" customHeight="1">
      <c r="A6" s="4" t="inlineStr">
        <is>
          <t>ALX Africa</t>
        </is>
      </c>
      <c r="B6" s="20" t="n">
        <v>4.7</v>
      </c>
      <c r="C6" s="5" t="inlineStr">
        <is>
          <t>Online tech programmes</t>
        </is>
      </c>
      <c r="D6" s="5" t="inlineStr">
        <is>
          <t>Trustpilot, 544 reviews</t>
        </is>
      </c>
      <c r="E6" s="5" t="inlineStr">
        <is>
          <t>Self-paced, strong community, personal follow-up</t>
        </is>
      </c>
      <c r="F6" s="5" t="inlineStr">
        <is>
          <t>Billing and access problems slow to fix; very demanding</t>
        </is>
      </c>
    </row>
    <row r="7" ht="46" customHeight="1">
      <c r="A7" s="4" t="inlineStr">
        <is>
          <t>TryHackMe</t>
        </is>
      </c>
      <c r="B7" s="20" t="n">
        <v>4.5</v>
      </c>
      <c r="C7" s="5" t="inlineStr">
        <is>
          <t>Online hands-on cyber labs</t>
        </is>
      </c>
      <c r="D7" s="5" t="inlineStr">
        <is>
          <t>Trustpilot, 867 reviews</t>
        </is>
      </c>
      <c r="E7" s="5" t="inlineStr">
        <is>
          <t>Beginner-friendly, hands-on rooms, browser AttackBox</t>
        </is>
      </c>
      <c r="F7" s="5" t="inlineStr">
        <is>
          <t>Slow support, discount problems, data privacy</t>
        </is>
      </c>
    </row>
    <row r="8" ht="46" customHeight="1">
      <c r="A8" s="4" t="inlineStr">
        <is>
          <t>AltSchool Africa</t>
        </is>
      </c>
      <c r="B8" s="20" t="inlineStr">
        <is>
          <t>None</t>
        </is>
      </c>
      <c r="C8" s="5" t="inlineStr">
        <is>
          <t>Online tech school (no cyber track found)</t>
        </is>
      </c>
      <c r="D8" s="5" t="inlineStr">
        <is>
          <t>No Trustpilot rating found</t>
        </is>
      </c>
      <c r="E8" s="5" t="inlineStr">
        <is>
          <t>Affordable for self-motivated learners</t>
        </is>
      </c>
      <c r="F8" s="5" t="inlineStr">
        <is>
          <t>Weak grading, missing lectures, login problems (X, Oct 2025)</t>
        </is>
      </c>
    </row>
    <row r="9" ht="46" customHeight="1">
      <c r="A9" s="4" t="inlineStr">
        <is>
          <t>CyberGirls (CyberSafe Foundation)</t>
        </is>
      </c>
      <c r="B9" s="20" t="inlineStr">
        <is>
          <t>None</t>
        </is>
      </c>
      <c r="C9" s="5" t="inlineStr">
        <is>
          <t>Free 7-month fellowship for women</t>
        </is>
      </c>
      <c r="D9" s="5" t="inlineStr">
        <is>
          <t>No public rating</t>
        </is>
      </c>
      <c r="E9" s="5" t="inlineStr">
        <is>
          <t>Free, with mentoring and internships</t>
        </is>
      </c>
      <c r="F9" s="5" t="inlineStr">
        <is>
          <t>Very hard to get in: 20,000+ applications a year for about 500 places</t>
        </is>
      </c>
    </row>
    <row r="10" ht="46" customHeight="1">
      <c r="A10" s="4" t="inlineStr">
        <is>
          <t>NIIT Nigeria, Phillips Consulting</t>
        </is>
      </c>
      <c r="B10" s="20" t="inlineStr">
        <is>
          <t>None</t>
        </is>
      </c>
      <c r="C10" s="5" t="inlineStr">
        <is>
          <t>Classroom courses</t>
        </is>
      </c>
      <c r="D10" s="5" t="inlineStr">
        <is>
          <t>No independent reviews found</t>
        </is>
      </c>
      <c r="E10" s="5" t="inlineStr">
        <is>
          <t>Classroom teaching; NIIT says 16,000 students a year</t>
        </is>
      </c>
      <c r="F10" s="5" t="inlineStr">
        <is>
          <t>Reviews are hard to find; ₦250,000 for 5 days</t>
        </is>
      </c>
    </row>
    <row r="11">
      <c r="A11" s="4" t="inlineStr">
        <is>
          <t>Average rating of the rated rivals</t>
        </is>
      </c>
      <c r="B11" s="23">
        <f>AVERAGE(B6:B10)</f>
        <v>4.6</v>
      </c>
    </row>
    <row r="12">
      <c r="A12" s="4" t="inlineStr">
        <is>
          <t>Rivals with no rating found</t>
        </is>
      </c>
      <c r="B12" s="22">
        <f>COUNTIF(B6:B10,"None")</f>
        <v>3</v>
      </c>
    </row>
    <row r="14" ht="20" customHeight="1">
      <c r="A14" s="3" t="inlineStr">
        <is>
          <t>Marketplace reviews (Udemy and Coursera)</t>
        </is>
      </c>
    </row>
    <row r="15" ht="30" customHeight="1">
      <c r="A15" s="7" t="inlineStr">
        <is>
          <t>Course</t>
        </is>
      </c>
      <c r="B15" s="7" t="inlineStr">
        <is>
          <t>Rating (of 5)</t>
        </is>
      </c>
      <c r="C15" s="7" t="inlineStr">
        <is>
          <t>Platform</t>
        </is>
      </c>
      <c r="D15" s="7" t="inlineStr">
        <is>
          <t>Learners</t>
        </is>
      </c>
      <c r="E15" s="7" t="inlineStr">
        <is>
          <t>What learners like</t>
        </is>
      </c>
      <c r="F15" s="7" t="inlineStr">
        <is>
          <t>What learners complain about</t>
        </is>
      </c>
    </row>
    <row r="16" ht="32" customHeight="1">
      <c r="A16" s="4" t="inlineStr">
        <is>
          <t>Google Cybersecurity Certificate</t>
        </is>
      </c>
      <c r="B16" s="20" t="n">
        <v>4.8</v>
      </c>
      <c r="C16" s="9" t="inlineStr">
        <is>
          <t>Coursera</t>
        </is>
      </c>
      <c r="D16" s="10" t="n">
        <v>1367882</v>
      </c>
      <c r="E16" s="5" t="inlineStr">
        <is>
          <t>Great for beginners; good pacing</t>
        </is>
      </c>
      <c r="F16" s="5" t="inlineStr">
        <is>
          <t>Some mistakes in a final quiz (41,298 ratings)</t>
        </is>
      </c>
    </row>
    <row r="17" ht="32" customHeight="1">
      <c r="A17" s="4" t="inlineStr">
        <is>
          <t>CompTIA Security+ Complete Course (Jason Dion)</t>
        </is>
      </c>
      <c r="B17" s="20" t="n">
        <v>4.7</v>
      </c>
      <c r="C17" s="9" t="inlineStr">
        <is>
          <t>Udemy</t>
        </is>
      </c>
      <c r="D17" s="10" t="n">
        <v>479288</v>
      </c>
      <c r="E17" s="5" t="inlineStr">
        <is>
          <t>Clear, thorough instructor</t>
        </is>
      </c>
      <c r="F17" s="5" t="inlineStr">
        <is>
          <t>Exam questions harder than the course (115,856 ratings)</t>
        </is>
      </c>
    </row>
    <row r="18" ht="32" customHeight="1">
      <c r="A18" s="4" t="inlineStr">
        <is>
          <t>The Complete Cyber Security Course (Nathan House)</t>
        </is>
      </c>
      <c r="B18" s="20" t="n">
        <v>4.6</v>
      </c>
      <c r="C18" s="9" t="inlineStr">
        <is>
          <t>Udemy</t>
        </is>
      </c>
      <c r="D18" s="10" t="n">
        <v>320293</v>
      </c>
      <c r="E18" s="5" t="inlineStr">
        <is>
          <t>Wide coverage</t>
        </is>
      </c>
      <c r="F18" s="5" t="inlineStr">
        <is>
          <t>Last updated March 2024 (58,428 ratings)</t>
        </is>
      </c>
    </row>
    <row r="19" ht="32" customHeight="1">
      <c r="A19" s="4" t="inlineStr">
        <is>
          <t>Security+ Practice Exams, Set 1 (Jason Dion)</t>
        </is>
      </c>
      <c r="B19" s="20" t="n">
        <v>4.5</v>
      </c>
      <c r="C19" s="9" t="inlineStr">
        <is>
          <t>Udemy</t>
        </is>
      </c>
      <c r="D19" s="10" t="n">
        <v>49004</v>
      </c>
      <c r="E19" s="5" t="inlineStr">
        <is>
          <t>Good exam practice</t>
        </is>
      </c>
      <c r="F19" s="5" t="inlineStr">
        <is>
          <t>Practice only, no teaching (3,686 ratings)</t>
        </is>
      </c>
    </row>
    <row r="20">
      <c r="A20" s="4" t="inlineStr">
        <is>
          <t>Total learners on these courses</t>
        </is>
      </c>
      <c r="D20" s="15">
        <f>SUM(D16:D19)</f>
        <v>2216467</v>
      </c>
    </row>
    <row r="21">
      <c r="A21" s="4" t="inlineStr">
        <is>
          <t>Average rating</t>
        </is>
      </c>
      <c r="B21" s="23">
        <f>AVERAGE(B16:B19)</f>
        <v>4.65</v>
      </c>
    </row>
    <row r="22" ht="30" customHeight="1">
      <c r="A22" s="24" t="inlineStr">
        <is>
          <t>Ratings of the Google certificate are those of its first course, Foundations of Cybersecurity; learners are those enrolled in the whole certificate. Complaints that come up again and again in low course reviews: outdated content; too much theory, no hands-on labs; weak support from the instructor (Course.careers).</t>
        </is>
      </c>
    </row>
  </sheetData>
  <mergeCells count="5">
    <mergeCell ref="A2:F2"/>
    <mergeCell ref="A14:F14"/>
    <mergeCell ref="A1:F1"/>
    <mergeCell ref="A22:F22"/>
    <mergeCell ref="A4:F4"/>
  </mergeCells>
  <pageMargins left="0.5" right="0.5" top="0.6" bottom="0.6" header="0.3" footer="0.3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38" customWidth="1" min="3" max="3"/>
    <col width="10" customWidth="1" min="4" max="4"/>
    <col width="10" customWidth="1" min="5" max="5"/>
    <col width="12" customWidth="1" min="6" max="6"/>
    <col width="8" customWidth="1" min="7" max="7"/>
  </cols>
  <sheetData>
    <row r="1" ht="21" customHeight="1">
      <c r="A1" s="1" t="inlineStr">
        <is>
          <t>MARKET GAPS AND OPPORTUNITIES</t>
        </is>
      </c>
    </row>
    <row r="2">
      <c r="A2" s="2" t="inlineStr">
        <is>
          <t>Gaps: what customers want but do not get today. Demand and fit are scored 1 (low) to 5 (high); priority = demand × fit (out of 25).</t>
        </is>
      </c>
    </row>
    <row r="4" ht="30" customHeight="1">
      <c r="A4" s="7" t="inlineStr">
        <is>
          <t>Gap in the market</t>
        </is>
      </c>
      <c r="B4" s="7" t="inlineStr">
        <is>
          <t>Evidence from the research</t>
        </is>
      </c>
      <c r="C4" s="7" t="inlineStr">
        <is>
          <t>Opportunity for CyberStart</t>
        </is>
      </c>
      <c r="D4" s="7" t="inlineStr">
        <is>
          <t>Demand (1-5)</t>
        </is>
      </c>
      <c r="E4" s="7" t="inlineStr">
        <is>
          <t>Fit (1-5)</t>
        </is>
      </c>
      <c r="F4" s="7" t="inlineStr">
        <is>
          <t>Priority (of 25)</t>
        </is>
      </c>
      <c r="G4" s="7" t="inlineStr">
        <is>
          <t>Rank</t>
        </is>
      </c>
    </row>
    <row r="5" ht="46" customHeight="1">
      <c r="A5" s="4" t="inlineStr">
        <is>
          <t>Affordable courses with live support</t>
        </is>
      </c>
      <c r="B5" s="5" t="inlineStr">
        <is>
          <t>Free places are scarce (CyberGirls: 20,000+ applications for about 500 places); paid options cost ₦250,000 for 5 days or US$1,000+</t>
        </is>
      </c>
      <c r="C5" s="5" t="inlineStr">
        <is>
          <t>A mid-price course: ₦150,000 in 3 parts</t>
        </is>
      </c>
      <c r="D5" s="25" t="n">
        <v>5</v>
      </c>
      <c r="E5" s="25" t="n">
        <v>5</v>
      </c>
      <c r="F5" s="22">
        <f>D5*E5</f>
        <v>25</v>
      </c>
      <c r="G5" s="9">
        <f>RANK(F5,$F$5:$F$11)</f>
        <v>1</v>
      </c>
    </row>
    <row r="6" ht="46" customHeight="1">
      <c r="A6" s="4" t="inlineStr">
        <is>
          <t>Hands-on practice</t>
        </is>
      </c>
      <c r="B6" s="5" t="inlineStr">
        <is>
          <t>“No labs” and “too much theory” drive low course ratings; TryHackMe is praised for its labs</t>
        </is>
      </c>
      <c r="C6" s="5" t="inlineStr">
        <is>
          <t>A lab every week and a final project</t>
        </is>
      </c>
      <c r="D6" s="25" t="n">
        <v>5</v>
      </c>
      <c r="E6" s="25" t="n">
        <v>5</v>
      </c>
      <c r="F6" s="22">
        <f>D6*E6</f>
        <v>25</v>
      </c>
      <c r="G6" s="9">
        <f>RANK(F6,$F$5:$F$11)</f>
        <v>1</v>
      </c>
    </row>
    <row r="7" ht="46" customHeight="1">
      <c r="A7" s="4" t="inlineStr">
        <is>
          <t>A route from course to job</t>
        </is>
      </c>
      <c r="B7" s="5" t="inlineStr">
        <is>
          <t>Guides say to get Security+ and a portfolio; banks and insurers are 29% of the market</t>
        </is>
      </c>
      <c r="C7" s="5" t="inlineStr">
        <is>
          <t>Exam preparation, CV help and employer-sponsored places</t>
        </is>
      </c>
      <c r="D7" s="25" t="n">
        <v>5</v>
      </c>
      <c r="E7" s="25" t="n">
        <v>4</v>
      </c>
      <c r="F7" s="22">
        <f>D7*E7</f>
        <v>20</v>
      </c>
      <c r="G7" s="9">
        <f>RANK(F7,$F$5:$F$11)</f>
        <v>3</v>
      </c>
    </row>
    <row r="8" ht="46" customHeight="1">
      <c r="A8" s="4" t="inlineStr">
        <is>
          <t>Reliable support</t>
        </is>
      </c>
      <c r="B8" s="5" t="inlineStr">
        <is>
          <t>AltSchool backlash on X; ALX billing fix took 9 days; TryHackMe support is slow</t>
        </is>
      </c>
      <c r="C8" s="5" t="inlineStr">
        <is>
          <t>Replies within 24 hours and recorded classes</t>
        </is>
      </c>
      <c r="D8" s="25" t="n">
        <v>4</v>
      </c>
      <c r="E8" s="25" t="n">
        <v>5</v>
      </c>
      <c r="F8" s="22">
        <f>D8*E8</f>
        <v>20</v>
      </c>
      <c r="G8" s="9">
        <f>RANK(F8,$F$5:$F$11)</f>
        <v>3</v>
      </c>
    </row>
    <row r="9" ht="46" customHeight="1">
      <c r="A9" s="4" t="inlineStr">
        <is>
          <t>Clear prices online</t>
        </is>
      </c>
      <c r="B9" s="5" t="inlineStr">
        <is>
          <t>Few search results show a naira price</t>
        </is>
      </c>
      <c r="C9" s="5" t="inlineStr">
        <is>
          <t>Publish the price; a free first class</t>
        </is>
      </c>
      <c r="D9" s="25" t="n">
        <v>4</v>
      </c>
      <c r="E9" s="25" t="n">
        <v>4</v>
      </c>
      <c r="F9" s="22">
        <f>D9*E9</f>
        <v>16</v>
      </c>
      <c r="G9" s="9">
        <f>RANK(F9,$F$5:$F$11)</f>
        <v>5</v>
      </c>
    </row>
    <row r="10" ht="46" customHeight="1">
      <c r="A10" s="4" t="inlineStr">
        <is>
          <t>Up-to-date, local content</t>
        </is>
      </c>
      <c r="B10" s="5" t="inlineStr">
        <is>
          <t>A top Udemy course was last updated in March 2024; the CAC breach drove interest</t>
        </is>
      </c>
      <c r="C10" s="5" t="inlineStr">
        <is>
          <t>Update every cohort with Nigerian cases</t>
        </is>
      </c>
      <c r="D10" s="25" t="n">
        <v>3</v>
      </c>
      <c r="E10" s="25" t="n">
        <v>5</v>
      </c>
      <c r="F10" s="22">
        <f>D10*E10</f>
        <v>15</v>
      </c>
      <c r="G10" s="9">
        <f>RANK(F10,$F$5:$F$11)</f>
        <v>6</v>
      </c>
    </row>
    <row r="11" ht="46" customHeight="1">
      <c r="A11" s="4" t="inlineStr">
        <is>
          <t>Trusted local providers</t>
        </is>
      </c>
      <c r="B11" s="5" t="inlineStr">
        <is>
          <t>No independent reviews found for NIIT Nigeria or Phillips Consulting</t>
        </is>
      </c>
      <c r="C11" s="5" t="inlineStr">
        <is>
          <t>Collect reviews on Google and Trustpilot</t>
        </is>
      </c>
      <c r="D11" s="25" t="n">
        <v>3</v>
      </c>
      <c r="E11" s="25" t="n">
        <v>4</v>
      </c>
      <c r="F11" s="22">
        <f>D11*E11</f>
        <v>12</v>
      </c>
      <c r="G11" s="9">
        <f>RANK(F11,$F$5:$F$11)</f>
        <v>7</v>
      </c>
    </row>
    <row r="12">
      <c r="A12" s="26" t="inlineStr">
        <is>
          <t>Biggest gap</t>
        </is>
      </c>
      <c r="B12" s="27" t="str">
        <f>INDEX(A5:A11,MATCH(MAX(F5:F11),F5:F11,0))&amp;" (priority "&amp;MAX(F5:F11)&amp;" of 25)"</f>
        <v>Affordable courses with live support (priority 25 of 25)</v>
      </c>
      <c r="C12" s="6" t="n"/>
      <c r="D12" s="6" t="n"/>
      <c r="E12" s="6" t="n"/>
      <c r="F12" s="6" t="n"/>
      <c r="G12" s="6" t="n"/>
    </row>
    <row r="14" ht="20" customHeight="1">
      <c r="A14" s="3" t="inlineStr">
        <is>
          <t>Opportunities in the market</t>
        </is>
      </c>
    </row>
    <row r="15" ht="22" customHeight="1">
      <c r="A15" s="7" t="inlineStr">
        <is>
          <t>Opportunity</t>
        </is>
      </c>
      <c r="B15" s="7" t="inlineStr">
        <is>
          <t>Evidence</t>
        </is>
      </c>
      <c r="C15" s="7" t="inlineStr">
        <is>
          <t>Source</t>
        </is>
      </c>
    </row>
    <row r="16" ht="32" customHeight="1">
      <c r="A16" s="4" t="inlineStr">
        <is>
          <t>A growing market</t>
        </is>
      </c>
      <c r="B16" s="5" t="inlineStr">
        <is>
          <t>US$230 million in 2025, growing about 10% a year to 2031</t>
        </is>
      </c>
      <c r="C16" s="5" t="inlineStr">
        <is>
          <t>Mordor Intelligence</t>
        </is>
      </c>
    </row>
    <row r="17" ht="32" customHeight="1">
      <c r="A17" s="4" t="inlineStr">
        <is>
          <t>A shortage of experts</t>
        </is>
      </c>
      <c r="B17" s="5" t="inlineStr">
        <is>
          <t>About 8,352 professionals in Nigeria against 57,269 in South Africa (2023)</t>
        </is>
      </c>
      <c r="C17" s="5" t="inlineStr">
        <is>
          <t>CompTIA, using ISC2 figures</t>
        </is>
      </c>
    </row>
    <row r="18" ht="32" customHeight="1">
      <c r="A18" s="4" t="inlineStr">
        <is>
          <t>Rising threats</t>
        </is>
      </c>
      <c r="B18" s="5" t="inlineStr">
        <is>
          <t>4,388 attacks a week on each organisation in early 2025, up 47%; the CAC breach in April 2026</t>
        </is>
      </c>
      <c r="C18" s="5" t="inlineStr">
        <is>
          <t>BusinessDay, reporting Check Point</t>
        </is>
      </c>
    </row>
    <row r="19" ht="32" customHeight="1">
      <c r="A19" s="4" t="inlineStr">
        <is>
          <t>Employers who pay</t>
        </is>
      </c>
      <c r="B19" s="5" t="inlineStr">
        <is>
          <t>Banks, finance and insurance are 29.2% of the cybersecurity market</t>
        </is>
      </c>
      <c r="C19" s="5" t="inlineStr">
        <is>
          <t>Mordor Intelligence</t>
        </is>
      </c>
    </row>
    <row r="20" ht="32" customHeight="1">
      <c r="A20" s="4" t="inlineStr">
        <is>
          <t>Nationwide interest</t>
        </is>
      </c>
      <c r="B20" s="5" t="inlineStr">
        <is>
          <t>Cybersecurity is the most searched digital skill in most states, not only Lagos</t>
        </is>
      </c>
      <c r="C20" s="5" t="inlineStr">
        <is>
          <t>Google Trends</t>
        </is>
      </c>
    </row>
    <row r="21" ht="32" customHeight="1">
      <c r="A21" s="4" t="inlineStr">
        <is>
          <t>A free exam offer ended</t>
        </is>
      </c>
      <c r="B21" s="5" t="inlineStr">
        <is>
          <t>ISC2 closed its free CC exam programme on 20 May 2026, so learners need exam preparation</t>
        </is>
      </c>
      <c r="C21" s="5" t="inlineStr">
        <is>
          <t>ISC2</t>
        </is>
      </c>
    </row>
    <row r="23" ht="20" customHeight="1">
      <c r="A23" s="3" t="inlineStr">
        <is>
          <t>How CyberStart fills the gaps (marketing mix)</t>
        </is>
      </c>
    </row>
    <row r="24" ht="30" customHeight="1">
      <c r="A24" s="4" t="inlineStr">
        <is>
          <t>Product</t>
        </is>
      </c>
      <c r="B24" s="5" t="inlineStr">
        <is>
          <t>12-week beginner course: live classes, weekly labs, final project, exam preparation, job support</t>
        </is>
      </c>
      <c r="C24" s="6" t="n"/>
      <c r="D24" s="6" t="n"/>
      <c r="E24" s="6" t="n"/>
      <c r="F24" s="6" t="n"/>
      <c r="G24" s="6" t="n"/>
    </row>
    <row r="25" ht="30" customHeight="1">
      <c r="A25" s="4" t="inlineStr">
        <is>
          <t>Price</t>
        </is>
      </c>
      <c r="B25" s="5" t="inlineStr">
        <is>
          <t>₦150,000 in 3 parts of ₦50,000; free first class; employer-sponsored places</t>
        </is>
      </c>
      <c r="C25" s="6" t="n"/>
      <c r="D25" s="6" t="n"/>
      <c r="E25" s="6" t="n"/>
      <c r="F25" s="6" t="n"/>
      <c r="G25" s="6" t="n"/>
    </row>
    <row r="26" ht="30" customHeight="1">
      <c r="A26" s="4" t="inlineStr">
        <is>
          <t>Place</t>
        </is>
      </c>
      <c r="B26" s="5" t="inlineStr">
        <is>
          <t>Online nationwide, with weekend labs in Lagos and Abuja</t>
        </is>
      </c>
      <c r="C26" s="6" t="n"/>
      <c r="D26" s="6" t="n"/>
      <c r="E26" s="6" t="n"/>
      <c r="F26" s="6" t="n"/>
      <c r="G26" s="6" t="n"/>
    </row>
    <row r="27" ht="30" customHeight="1">
      <c r="A27" s="4" t="inlineStr">
        <is>
          <t>Promotion</t>
        </is>
      </c>
      <c r="B27" s="5" t="inlineStr">
        <is>
          <t>Facebook and Instagram adverts, TikTok how-to videos, LinkedIn for employers, reviews on Google and Trustpilot</t>
        </is>
      </c>
      <c r="C27" s="6" t="n"/>
      <c r="D27" s="6" t="n"/>
      <c r="E27" s="6" t="n"/>
      <c r="F27" s="6" t="n"/>
      <c r="G27" s="6" t="n"/>
    </row>
  </sheetData>
  <mergeCells count="9">
    <mergeCell ref="B24:G24"/>
    <mergeCell ref="A14:G14"/>
    <mergeCell ref="A1:G1"/>
    <mergeCell ref="B27:G27"/>
    <mergeCell ref="A2:G2"/>
    <mergeCell ref="B26:G26"/>
    <mergeCell ref="B12:G12"/>
    <mergeCell ref="B25:G25"/>
    <mergeCell ref="A23:G23"/>
  </mergeCells>
  <pageMargins left="0.5" right="0.5" top="0.6" bottom="0.6" header="0.3" footer="0.3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60" customWidth="1" min="3" max="3"/>
    <col width="30" customWidth="1" min="4" max="4"/>
  </cols>
  <sheetData>
    <row r="1" ht="21" customHeight="1">
      <c r="A1" s="1" t="inlineStr">
        <is>
          <t>SOURCES</t>
        </is>
      </c>
    </row>
    <row r="2">
      <c r="A2" s="2" t="inlineStr">
        <is>
          <t>Web sources found on 8 and 9 October 2026; figures are as the sources report them. Click a link to open the source.</t>
        </is>
      </c>
    </row>
    <row r="4" ht="22" customHeight="1">
      <c r="A4" s="7" t="inlineStr">
        <is>
          <t>No.</t>
        </is>
      </c>
      <c r="B4" s="7" t="inlineStr">
        <is>
          <t>Who</t>
        </is>
      </c>
      <c r="C4" s="7" t="inlineStr">
        <is>
          <t>What</t>
        </is>
      </c>
      <c r="D4" s="7" t="inlineStr">
        <is>
          <t>Link</t>
        </is>
      </c>
    </row>
    <row r="5" ht="30" customHeight="1">
      <c r="A5" s="9" t="n">
        <v>1</v>
      </c>
      <c r="B5" s="4" t="inlineStr">
        <is>
          <t>Google Trends</t>
        </is>
      </c>
      <c r="C5" s="5" t="inlineStr">
        <is>
          <t>Market Research Lab Task 1 screenshots, 28 September 2026: Nigeria, past 12 months, all categories, web search</t>
        </is>
      </c>
      <c r="D5" s="28" t="inlineStr">
        <is>
          <t>trends.google.com</t>
        </is>
      </c>
    </row>
    <row r="6" ht="30" customHeight="1">
      <c r="A6" s="9" t="n">
        <v>2</v>
      </c>
      <c r="B6" s="4" t="inlineStr">
        <is>
          <t>Mordor Intelligence</t>
        </is>
      </c>
      <c r="C6" s="5" t="inlineStr">
        <is>
          <t>Nigeria Cybersecurity Market: size and share</t>
        </is>
      </c>
      <c r="D6" s="28" t="inlineStr">
        <is>
          <t>mordorintelligence.com</t>
        </is>
      </c>
    </row>
    <row r="7" ht="30" customHeight="1">
      <c r="A7" s="9" t="n">
        <v>3</v>
      </c>
      <c r="B7" s="4" t="inlineStr">
        <is>
          <t>DataReportal</t>
        </is>
      </c>
      <c r="C7" s="5" t="inlineStr">
        <is>
          <t>Digital 2026: Nigeria</t>
        </is>
      </c>
      <c r="D7" s="28" t="inlineStr">
        <is>
          <t>datareportal.com</t>
        </is>
      </c>
    </row>
    <row r="8" ht="30" customHeight="1">
      <c r="A8" s="9" t="n">
        <v>4</v>
      </c>
      <c r="B8" s="4" t="inlineStr">
        <is>
          <t>NapoleonCat</t>
        </is>
      </c>
      <c r="C8" s="5" t="inlineStr">
        <is>
          <t>Social media users in Nigeria, 2026 (Facebook, Instagram, LinkedIn)</t>
        </is>
      </c>
      <c r="D8" s="28" t="inlineStr">
        <is>
          <t>stats.napoleoncat.com</t>
        </is>
      </c>
    </row>
    <row r="9" ht="30" customHeight="1">
      <c r="A9" s="9" t="n">
        <v>5</v>
      </c>
      <c r="B9" s="4" t="inlineStr">
        <is>
          <t>CompTIA, using ISC2 figures</t>
        </is>
      </c>
      <c r="C9" s="5" t="inlineStr">
        <is>
          <t>Nigeria and Kenya: cybersecurity skills gaps and the workforce opportunity</t>
        </is>
      </c>
      <c r="D9" s="28" t="inlineStr">
        <is>
          <t>comptia.org</t>
        </is>
      </c>
    </row>
    <row r="10" ht="30" customHeight="1">
      <c r="A10" s="9" t="n">
        <v>6</v>
      </c>
      <c r="B10" s="4" t="inlineStr">
        <is>
          <t>BusinessDay, reporting Check Point</t>
        </is>
      </c>
      <c r="C10" s="5" t="inlineStr">
        <is>
          <t>Nigerian organisations recorded 4,388 attacks per week in Q1</t>
        </is>
      </c>
      <c r="D10" s="28" t="inlineStr">
        <is>
          <t>businessday.ng</t>
        </is>
      </c>
    </row>
    <row r="11" ht="30" customHeight="1">
      <c r="A11" s="9" t="n">
        <v>7</v>
      </c>
      <c r="B11" s="4" t="inlineStr">
        <is>
          <t>AllAfrica</t>
        </is>
      </c>
      <c r="C11" s="5" t="inlineStr">
        <is>
          <t>The CAC confirms a cyber breach (16 April 2026)</t>
        </is>
      </c>
      <c r="D11" s="28" t="inlineStr">
        <is>
          <t>allafrica.com</t>
        </is>
      </c>
    </row>
    <row r="12" ht="30" customHeight="1">
      <c r="A12" s="9" t="n">
        <v>8</v>
      </c>
      <c r="B12" s="4" t="inlineStr">
        <is>
          <t>BusinessDay</t>
        </is>
      </c>
      <c r="C12" s="5" t="inlineStr">
        <is>
          <t>Top six tech skills Nigerians need to stay relevant in 2026</t>
        </is>
      </c>
      <c r="D12" s="28" t="inlineStr">
        <is>
          <t>businessday.ng</t>
        </is>
      </c>
    </row>
    <row r="13" ht="30" customHeight="1">
      <c r="A13" s="9" t="n">
        <v>9</v>
      </c>
      <c r="B13" s="4" t="inlineStr">
        <is>
          <t>Profolio.ng</t>
        </is>
      </c>
      <c r="C13" s="5" t="inlineStr">
        <is>
          <t>Cybersecurity analyst: companies hiring in Nigeria, 2026</t>
        </is>
      </c>
      <c r="D13" s="28" t="inlineStr">
        <is>
          <t>profolio.ng</t>
        </is>
      </c>
    </row>
    <row r="14" ht="30" customHeight="1">
      <c r="A14" s="9" t="n">
        <v>10</v>
      </c>
      <c r="B14" s="4" t="inlineStr">
        <is>
          <t>Federal Ministry of Communications, Innovation and Digital Economy</t>
        </is>
      </c>
      <c r="C14" s="5" t="inlineStr">
        <is>
          <t>3 Million Technical Talent (3MTT)</t>
        </is>
      </c>
      <c r="D14" s="28" t="inlineStr">
        <is>
          <t>3mtt.nitda.gov.ng</t>
        </is>
      </c>
    </row>
    <row r="15" ht="30" customHeight="1">
      <c r="A15" s="9" t="n">
        <v>11</v>
      </c>
      <c r="B15" s="4" t="inlineStr">
        <is>
          <t>TechCabal</t>
        </is>
      </c>
      <c r="C15" s="5" t="inlineStr">
        <is>
          <t>3 Million Technical Talent portal: features and FAQs (the twelve skills)</t>
        </is>
      </c>
      <c r="D15" s="28" t="inlineStr">
        <is>
          <t>techcabal.com</t>
        </is>
      </c>
    </row>
    <row r="16" ht="30" customHeight="1">
      <c r="A16" s="9" t="n">
        <v>12</v>
      </c>
      <c r="B16" s="4" t="inlineStr">
        <is>
          <t>Phillips Consulting</t>
        </is>
      </c>
      <c r="C16" s="5" t="inlineStr">
        <is>
          <t>Certified ISO 27032 Cyber Security Lead Manager (Lagos)</t>
        </is>
      </c>
      <c r="D16" s="28" t="inlineStr">
        <is>
          <t>phillipsconsulting.net</t>
        </is>
      </c>
    </row>
    <row r="17" ht="30" customHeight="1">
      <c r="A17" s="9" t="n">
        <v>13</v>
      </c>
      <c r="B17" s="4" t="inlineStr">
        <is>
          <t>TechCabal Radar</t>
        </is>
      </c>
      <c r="C17" s="5" t="inlineStr">
        <is>
          <t>Cybersecurity engineering bootcamp in Nigeria</t>
        </is>
      </c>
      <c r="D17" s="28" t="inlineStr">
        <is>
          <t>radar.techcabal.com</t>
        </is>
      </c>
    </row>
    <row r="18" ht="30" customHeight="1">
      <c r="A18" s="9" t="n">
        <v>14</v>
      </c>
      <c r="B18" s="4" t="inlineStr">
        <is>
          <t>Legit.ng</t>
        </is>
      </c>
      <c r="C18" s="5" t="inlineStr">
        <is>
          <t>Best cybersecurity courses in Nigeria: top universities, fees, and how to apply</t>
        </is>
      </c>
      <c r="D18" s="28" t="inlineStr">
        <is>
          <t>legit.ng</t>
        </is>
      </c>
    </row>
    <row r="19" ht="30" customHeight="1">
      <c r="A19" s="9" t="n">
        <v>15</v>
      </c>
      <c r="B19" s="4" t="inlineStr">
        <is>
          <t>TechNeeds</t>
        </is>
      </c>
      <c r="C19" s="5" t="inlineStr">
        <is>
          <t>How to get started in cyber security: a beginner's guide (March 2026)</t>
        </is>
      </c>
      <c r="D19" s="28" t="inlineStr">
        <is>
          <t>techneeds.com</t>
        </is>
      </c>
    </row>
    <row r="20" ht="30" customHeight="1">
      <c r="A20" s="9" t="n">
        <v>16</v>
      </c>
      <c r="B20" s="4" t="inlineStr">
        <is>
          <t>BusinessDay</t>
        </is>
      </c>
      <c r="C20" s="5" t="inlineStr">
        <is>
          <t>Coursera's Nigeria prices</t>
        </is>
      </c>
      <c r="D20" s="28" t="inlineStr">
        <is>
          <t>businessday.ng</t>
        </is>
      </c>
    </row>
    <row r="21" ht="30" customHeight="1">
      <c r="A21" s="9" t="n">
        <v>17</v>
      </c>
      <c r="B21" s="4" t="inlineStr">
        <is>
          <t>ISC2</t>
        </is>
      </c>
      <c r="C21" s="5" t="inlineStr">
        <is>
          <t>One Million Certified in Cybersecurity: conclusion (April 2026)</t>
        </is>
      </c>
      <c r="D21" s="28" t="inlineStr">
        <is>
          <t>isc2.org</t>
        </is>
      </c>
    </row>
    <row r="22" ht="30" customHeight="1">
      <c r="A22" s="9" t="n">
        <v>18</v>
      </c>
      <c r="B22" s="4" t="inlineStr">
        <is>
          <t>Security Blue Team</t>
        </is>
      </c>
      <c r="C22" s="5" t="inlineStr">
        <is>
          <t>CyberGirls Fellowship success stories</t>
        </is>
      </c>
      <c r="D22" s="28" t="inlineStr">
        <is>
          <t>securityblue.team</t>
        </is>
      </c>
    </row>
    <row r="23" ht="30" customHeight="1">
      <c r="A23" s="9" t="n">
        <v>19</v>
      </c>
      <c r="B23" s="4" t="inlineStr">
        <is>
          <t>Trustpilot</t>
        </is>
      </c>
      <c r="C23" s="5" t="inlineStr">
        <is>
          <t>ALX Africa reviews</t>
        </is>
      </c>
      <c r="D23" s="28" t="inlineStr">
        <is>
          <t>fr.trustpilot.com</t>
        </is>
      </c>
    </row>
    <row r="24" ht="30" customHeight="1">
      <c r="A24" s="9" t="n">
        <v>20</v>
      </c>
      <c r="B24" s="4" t="inlineStr">
        <is>
          <t>Mctaba</t>
        </is>
      </c>
      <c r="C24" s="5" t="inlineStr">
        <is>
          <t>ALX Africa review</t>
        </is>
      </c>
      <c r="D24" s="28" t="inlineStr">
        <is>
          <t>mctaba.com</t>
        </is>
      </c>
    </row>
    <row r="25" ht="30" customHeight="1">
      <c r="A25" s="9" t="n">
        <v>21</v>
      </c>
      <c r="B25" s="4" t="inlineStr">
        <is>
          <t>TechCabal</t>
        </is>
      </c>
      <c r="C25" s="5" t="inlineStr">
        <is>
          <t>AltSchool Africa set out to fix education. Now it's learning its own lessons (29 October 2025)</t>
        </is>
      </c>
      <c r="D25" s="28" t="inlineStr">
        <is>
          <t>techcabal.com</t>
        </is>
      </c>
    </row>
    <row r="26" ht="30" customHeight="1">
      <c r="A26" s="9" t="n">
        <v>22</v>
      </c>
      <c r="B26" s="4" t="inlineStr">
        <is>
          <t>Techpoint Africa</t>
        </is>
      </c>
      <c r="C26" s="5" t="inlineStr">
        <is>
          <t>AltSchool Africa Nano-Diploma</t>
        </is>
      </c>
      <c r="D26" s="28" t="inlineStr">
        <is>
          <t>techpoint.africa</t>
        </is>
      </c>
    </row>
    <row r="27" ht="30" customHeight="1">
      <c r="A27" s="9" t="n">
        <v>23</v>
      </c>
      <c r="B27" s="4" t="inlineStr">
        <is>
          <t>Trustpilot</t>
        </is>
      </c>
      <c r="C27" s="5" t="inlineStr">
        <is>
          <t>TryHackMe reviews</t>
        </is>
      </c>
      <c r="D27" s="28" t="inlineStr">
        <is>
          <t>trustpilot.com</t>
        </is>
      </c>
    </row>
    <row r="28" ht="30" customHeight="1">
      <c r="A28" s="9" t="n">
        <v>24</v>
      </c>
      <c r="B28" s="4" t="inlineStr">
        <is>
          <t>NIIT Nigeria</t>
        </is>
      </c>
      <c r="C28" s="5" t="inlineStr">
        <is>
          <t>About NIIT Nigeria</t>
        </is>
      </c>
      <c r="D28" s="28" t="inlineStr">
        <is>
          <t>niit.com</t>
        </is>
      </c>
    </row>
    <row r="29" ht="30" customHeight="1">
      <c r="A29" s="9" t="n">
        <v>25</v>
      </c>
      <c r="B29" s="4" t="inlineStr">
        <is>
          <t>Udemy (figures as listed by CTgoodjobs)</t>
        </is>
      </c>
      <c r="C29" s="5" t="inlineStr">
        <is>
          <t>CompTIA Security+ (SY0-701) Complete Course &amp; Practice Exam</t>
        </is>
      </c>
      <c r="D29" s="28" t="inlineStr">
        <is>
          <t>www2.ctgoodjobs.hk</t>
        </is>
      </c>
    </row>
    <row r="30" ht="30" customHeight="1">
      <c r="A30" s="9" t="n">
        <v>26</v>
      </c>
      <c r="B30" s="4" t="inlineStr">
        <is>
          <t>Udemy (figures as listed by CTgoodjobs)</t>
        </is>
      </c>
      <c r="C30" s="5" t="inlineStr">
        <is>
          <t>CompTIA Security+ (SY0-701) Practice Exams Set 1</t>
        </is>
      </c>
      <c r="D30" s="28" t="inlineStr">
        <is>
          <t>www2.ctgoodjobs.hk</t>
        </is>
      </c>
    </row>
    <row r="31" ht="30" customHeight="1">
      <c r="A31" s="9" t="n">
        <v>27</v>
      </c>
      <c r="B31" s="4" t="inlineStr">
        <is>
          <t>Udemy</t>
        </is>
      </c>
      <c r="C31" s="5" t="inlineStr">
        <is>
          <t>The Complete Cyber Security Course: Hackers Exposed</t>
        </is>
      </c>
      <c r="D31" s="28" t="inlineStr">
        <is>
          <t>udemy.com</t>
        </is>
      </c>
    </row>
    <row r="32" ht="30" customHeight="1">
      <c r="A32" s="9" t="n">
        <v>28</v>
      </c>
      <c r="B32" s="4" t="inlineStr">
        <is>
          <t>Coursera</t>
        </is>
      </c>
      <c r="C32" s="5" t="inlineStr">
        <is>
          <t>Google Cybersecurity Professional Certificate</t>
        </is>
      </c>
      <c r="D32" s="28" t="inlineStr">
        <is>
          <t>coursera.org</t>
        </is>
      </c>
    </row>
    <row r="33" ht="30" customHeight="1">
      <c r="A33" s="9" t="n">
        <v>29</v>
      </c>
      <c r="B33" s="4" t="inlineStr">
        <is>
          <t>Coursera</t>
        </is>
      </c>
      <c r="C33" s="5" t="inlineStr">
        <is>
          <t>Foundations of Cybersecurity (Google): reviews</t>
        </is>
      </c>
      <c r="D33" s="28" t="inlineStr">
        <is>
          <t>coursera.org</t>
        </is>
      </c>
    </row>
    <row r="34" ht="30" customHeight="1">
      <c r="A34" s="9" t="n">
        <v>30</v>
      </c>
      <c r="B34" s="4" t="inlineStr">
        <is>
          <t>vLearnSecurity</t>
        </is>
      </c>
      <c r="C34" s="5" t="inlineStr">
        <is>
          <t>Pricing: 12-week foundational course</t>
        </is>
      </c>
      <c r="D34" s="28" t="inlineStr">
        <is>
          <t>vlearnsecurity.durable.site</t>
        </is>
      </c>
    </row>
    <row r="35" ht="30" customHeight="1">
      <c r="A35" s="9" t="n">
        <v>31</v>
      </c>
      <c r="B35" s="4" t="inlineStr">
        <is>
          <t>Mobility.com.ng</t>
        </is>
      </c>
      <c r="C35" s="5" t="inlineStr">
        <is>
          <t>Cybersecurity career path: jobs and pay in Nigeria</t>
        </is>
      </c>
      <c r="D35" s="28" t="inlineStr">
        <is>
          <t>mobility.com.ng</t>
        </is>
      </c>
    </row>
    <row r="36" ht="30" customHeight="1">
      <c r="A36" s="9" t="n">
        <v>32</v>
      </c>
      <c r="B36" s="4" t="inlineStr">
        <is>
          <t>Profolio.ng</t>
        </is>
      </c>
      <c r="C36" s="5" t="inlineStr">
        <is>
          <t>How to get a cybersecurity analyst job in Nigeria</t>
        </is>
      </c>
      <c r="D36" s="28" t="inlineStr">
        <is>
          <t>profolio.ng</t>
        </is>
      </c>
    </row>
    <row r="37" ht="30" customHeight="1">
      <c r="A37" s="9" t="n">
        <v>33</v>
      </c>
      <c r="B37" s="4" t="inlineStr">
        <is>
          <t>Nigeria Startup Act portal</t>
        </is>
      </c>
      <c r="C37" s="5" t="inlineStr">
        <is>
          <t>Apply for the NITDA Capture The Flag (CTF) Competition 2026</t>
        </is>
      </c>
      <c r="D37" s="28" t="inlineStr">
        <is>
          <t>nigeriastartupact.ng</t>
        </is>
      </c>
    </row>
    <row r="38" ht="30" customHeight="1">
      <c r="A38" s="9" t="n">
        <v>34</v>
      </c>
      <c r="B38" s="4" t="inlineStr">
        <is>
          <t>Course.careers</t>
        </is>
      </c>
      <c r="C38" s="5" t="inlineStr">
        <is>
          <t>Overview of course reviews: what drives low ratings</t>
        </is>
      </c>
      <c r="D38" s="28" t="inlineStr">
        <is>
          <t>course.careers</t>
        </is>
      </c>
    </row>
    <row r="39" ht="30" customHeight="1">
      <c r="A39" s="9" t="n">
        <v>35</v>
      </c>
      <c r="B39" s="4" t="inlineStr">
        <is>
          <t>IQHashtags</t>
        </is>
      </c>
      <c r="C39" s="5" t="inlineStr">
        <is>
          <t>#cybersecurity: Instagram hashtag analysis</t>
        </is>
      </c>
      <c r="D39" s="28" t="inlineStr">
        <is>
          <t>iqhashtags.com</t>
        </is>
      </c>
    </row>
    <row r="40" ht="30" customHeight="1">
      <c r="A40" s="9" t="n">
        <v>36</v>
      </c>
      <c r="B40" s="4" t="inlineStr">
        <is>
          <t>Cyber Magazine</t>
        </is>
      </c>
      <c r="C40" s="5" t="inlineStr">
        <is>
          <t>Cybersecurity features in top 10 tech videos on TikTok</t>
        </is>
      </c>
      <c r="D40" s="28" t="inlineStr">
        <is>
          <t>cybermagazine.com</t>
        </is>
      </c>
    </row>
    <row r="41" ht="30" customHeight="1">
      <c r="A41" s="9" t="n">
        <v>37</v>
      </c>
      <c r="B41" s="4" t="inlineStr">
        <is>
          <t>Datashake</t>
        </is>
      </c>
      <c r="C41" s="5" t="inlineStr">
        <is>
          <t>Cybersecurity social media dataset (2022 to 2026)</t>
        </is>
      </c>
      <c r="D41" s="28" t="inlineStr">
        <is>
          <t>datashake.com</t>
        </is>
      </c>
    </row>
  </sheetData>
  <mergeCells count="2">
    <mergeCell ref="A1:D1"/>
    <mergeCell ref="A2:D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</hyperlinks>
  <pageMargins left="0.5" right="0.5" top="0.6" bottom="0.6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Capstone: Market Research</dc:title>
  <dc:subject xmlns:dc="http://purl.org/dc/elements/1.1/">Customer research for CyberStart by SkillUp Academy: market gaps and opportunities</dc:subject>
  <dcterms:created xmlns:dcterms="http://purl.org/dc/terms/" xmlns:xsi="http://www.w3.org/2001/XMLSchema-instance" xsi:type="dcterms:W3CDTF">2026-10-11T18:56:58Z</dcterms:created>
  <dcterms:modified xmlns:dcterms="http://purl.org/dc/terms/" xmlns:xsi="http://www.w3.org/2001/XMLSchema-instance" xsi:type="dcterms:W3CDTF">2026-10-11T18:56:58Z</dcterms:modified>
  <cp:lastModifiedBy/>
</cp:coreProperties>
</file>