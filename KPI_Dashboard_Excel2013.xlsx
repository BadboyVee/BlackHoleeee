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KPI Dashboard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<sst xmlns="http://schemas.openxmlformats.org/spreadsheetml/2006/main" count="30" uniqueCount="27">
  <si>
    <t xml:space="preserve">KPI Dashboard – Product Activation Campaign</t>
  </si>
  <si>
    <t xml:space="preserve">Status rule: On Target = met/beat target · At Risk = within 10% of target · Off Target = more than 10% short.  (CAC: lower is better)</t>
  </si>
  <si>
    <t xml:space="preserve">KPI Name</t>
  </si>
  <si>
    <t xml:space="preserve">Target</t>
  </si>
  <si>
    <t xml:space="preserve">Actual Result</t>
  </si>
  <si>
    <t xml:space="preserve">Variance (Actual − Target)</t>
  </si>
  <si>
    <t xml:space="preserve">Variance %</t>
  </si>
  <si>
    <t xml:space="preserve">Better If</t>
  </si>
  <si>
    <t xml:space="preserve">Status</t>
  </si>
  <si>
    <t xml:space="preserve">Data Source</t>
  </si>
  <si>
    <t xml:space="preserve">Qualified Entries</t>
  </si>
  <si>
    <t xml:space="preserve">Higher</t>
  </si>
  <si>
    <t xml:space="preserve">CRM / online entry form submissions</t>
  </si>
  <si>
    <t xml:space="preserve">Number of Paid Enrolments</t>
  </si>
  <si>
    <t xml:space="preserve">Payment system / enrolment register</t>
  </si>
  <si>
    <t xml:space="preserve">Advertising Spend (CAC – cost per enrolment)</t>
  </si>
  <si>
    <t xml:space="preserve">Lower</t>
  </si>
  <si>
    <t xml:space="preserve">Google Ads &amp; Meta Ads Manager ÷ paid enrolments</t>
  </si>
  <si>
    <t xml:space="preserve">Revenue Generated</t>
  </si>
  <si>
    <t xml:space="preserve">Sales ledger / accounting system</t>
  </si>
  <si>
    <t xml:space="preserve">Gross Profit</t>
  </si>
  <si>
    <t xml:space="preserve">Profit &amp; Loss statement (Finance)</t>
  </si>
  <si>
    <t xml:space="preserve">Summary</t>
  </si>
  <si>
    <t xml:space="preserve">KPIs On Target</t>
  </si>
  <si>
    <t xml:space="preserve">KPIs At Risk</t>
  </si>
  <si>
    <t xml:space="preserve">KPIs Off Target</t>
  </si>
  <si>
    <t xml:space="preserve">Gross Margin (Actual)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</si>
</sst>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#,##0;[RED]\-#,##0"/>
    <numFmt numFmtId="167" formatCode="0.0%;[RED]\-0.0%"/>
    <numFmt numFmtId="168" formatCode="\$#,##0"/>
    <numFmt numFmtId="169" formatCode="\$#,##0;[RED]&quot;-$&quot;#,##0"/>
    <numFmt numFmtId="170" formatCode="General"/>
    <numFmt numFmtId="171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mbria"/>
      <family val="0"/>
      <charset val="1"/>
    </font>
    <font>
      <i val="true"/>
      <sz val="9"/>
      <color rgb="FF555555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2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b val="1"/>
        <color rgb="FF006100"/>
      </font>
      <fill>
        <patternFill>
          <bgColor rgb="FFC6EFCE"/>
        </patternFill>
      </fill>
    </dxf>
    <dxf>
      <font>
        <b val="1"/>
        <color rgb="FF9C5700"/>
      </font>
      <fill>
        <patternFill>
          <bgColor rgb="FFFFEB9C"/>
        </patternFill>
      </fill>
    </dxf>
    <dxf>
      <font>
        <b val="1"/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C57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8" min="8" style="0" width="44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30" hidden="false" customHeight="true" outlineLevel="0" collapsed="false">
      <c r="A5" s="4" t="s">
        <v>10</v>
      </c>
      <c r="B5" s="5" t="n">
        <v>500</v>
      </c>
      <c r="C5" s="5" t="n">
        <v>460</v>
      </c>
      <c r="D5" s="6" t="n">
        <f aca="false">C5-B5</f>
        <v>-40</v>
      </c>
      <c r="E5" s="7" t="n">
        <f aca="false">IF(B5=0,0,(C5-B5)/B5)</f>
        <v>-0.08</v>
      </c>
      <c r="F5" s="8" t="s">
        <v>11</v>
      </c>
      <c r="G5" s="9" t="str">
        <f aca="false">IF(IF(F5="Lower",-E5,E5)&gt;=0,"On Target",IF(IF(F5="Lower",-E5,E5)&gt;=-0.1,"At Risk","Off Target"))</f>
        <v>At Risk</v>
      </c>
      <c r="H5" s="4" t="s">
        <v>12</v>
      </c>
    </row>
    <row r="6" customFormat="false" ht="30" hidden="false" customHeight="true" outlineLevel="0" collapsed="false">
      <c r="A6" s="4" t="s">
        <v>13</v>
      </c>
      <c r="B6" s="5" t="n">
        <v>120</v>
      </c>
      <c r="C6" s="5" t="n">
        <v>132</v>
      </c>
      <c r="D6" s="6" t="n">
        <f aca="false">C6-B6</f>
        <v>12</v>
      </c>
      <c r="E6" s="7" t="n">
        <f aca="false">IF(B6=0,0,(C6-B6)/B6)</f>
        <v>0.1</v>
      </c>
      <c r="F6" s="8" t="s">
        <v>11</v>
      </c>
      <c r="G6" s="9" t="str">
        <f aca="false">IF(IF(F6="Lower",-E6,E6)&gt;=0,"On Target",IF(IF(F6="Lower",-E6,E6)&gt;=-0.1,"At Risk","Off Target"))</f>
        <v>On Target</v>
      </c>
      <c r="H6" s="4" t="s">
        <v>14</v>
      </c>
    </row>
    <row r="7" customFormat="false" ht="30" hidden="false" customHeight="true" outlineLevel="0" collapsed="false">
      <c r="A7" s="4" t="s">
        <v>15</v>
      </c>
      <c r="B7" s="10" t="n">
        <v>50</v>
      </c>
      <c r="C7" s="10" t="n">
        <v>45</v>
      </c>
      <c r="D7" s="11" t="n">
        <f aca="false">C7-B7</f>
        <v>-5</v>
      </c>
      <c r="E7" s="7" t="n">
        <f aca="false">IF(B7=0,0,(C7-B7)/B7)</f>
        <v>-0.1</v>
      </c>
      <c r="F7" s="8" t="s">
        <v>16</v>
      </c>
      <c r="G7" s="9" t="str">
        <f aca="false">IF(IF(F7="Lower",-E7,E7)&gt;=0,"On Target",IF(IF(F7="Lower",-E7,E7)&gt;=-0.1,"At Risk","Off Target"))</f>
        <v>On Target</v>
      </c>
      <c r="H7" s="4" t="s">
        <v>17</v>
      </c>
    </row>
    <row r="8" customFormat="false" ht="30" hidden="false" customHeight="true" outlineLevel="0" collapsed="false">
      <c r="A8" s="4" t="s">
        <v>18</v>
      </c>
      <c r="B8" s="10" t="n">
        <v>60000</v>
      </c>
      <c r="C8" s="10" t="n">
        <v>66000</v>
      </c>
      <c r="D8" s="11" t="n">
        <f aca="false">C8-B8</f>
        <v>6000</v>
      </c>
      <c r="E8" s="7" t="n">
        <f aca="false">IF(B8=0,0,(C8-B8)/B8)</f>
        <v>0.1</v>
      </c>
      <c r="F8" s="8" t="s">
        <v>11</v>
      </c>
      <c r="G8" s="9" t="str">
        <f aca="false">IF(IF(F8="Lower",-E8,E8)&gt;=0,"On Target",IF(IF(F8="Lower",-E8,E8)&gt;=-0.1,"At Risk","Off Target"))</f>
        <v>On Target</v>
      </c>
      <c r="H8" s="4" t="s">
        <v>19</v>
      </c>
    </row>
    <row r="9" customFormat="false" ht="30" hidden="false" customHeight="true" outlineLevel="0" collapsed="false">
      <c r="A9" s="4" t="s">
        <v>20</v>
      </c>
      <c r="B9" s="10" t="n">
        <v>24000</v>
      </c>
      <c r="C9" s="10" t="n">
        <v>22500</v>
      </c>
      <c r="D9" s="11" t="n">
        <f aca="false">C9-B9</f>
        <v>-1500</v>
      </c>
      <c r="E9" s="7" t="n">
        <f aca="false">IF(B9=0,0,(C9-B9)/B9)</f>
        <v>-0.0625</v>
      </c>
      <c r="F9" s="8" t="s">
        <v>11</v>
      </c>
      <c r="G9" s="9" t="str">
        <f aca="false">IF(IF(F9="Lower",-E9,E9)&gt;=0,"On Target",IF(IF(F9="Lower",-E9,E9)&gt;=-0.1,"At Risk","Off Target"))</f>
        <v>At Risk</v>
      </c>
      <c r="H9" s="4" t="s">
        <v>21</v>
      </c>
    </row>
    <row r="11" customFormat="false" ht="15" hidden="false" customHeight="false" outlineLevel="0" collapsed="false">
      <c r="A11" s="12" t="s">
        <v>22</v>
      </c>
    </row>
    <row r="12" customFormat="false" ht="15" hidden="false" customHeight="false" outlineLevel="0" collapsed="false">
      <c r="A12" s="13" t="s">
        <v>23</v>
      </c>
      <c r="B12" s="14" t="n">
        <f aca="false">COUNTIF(G5:G9,"On Target")</f>
        <v>3</v>
      </c>
    </row>
    <row r="13" customFormat="false" ht="15" hidden="false" customHeight="false" outlineLevel="0" collapsed="false">
      <c r="A13" s="13" t="s">
        <v>24</v>
      </c>
      <c r="B13" s="14" t="n">
        <f aca="false">COUNTIF(G5:G9,"At Risk")</f>
        <v>2</v>
      </c>
    </row>
    <row r="14" customFormat="false" ht="15" hidden="false" customHeight="false" outlineLevel="0" collapsed="false">
      <c r="A14" s="13" t="s">
        <v>25</v>
      </c>
      <c r="B14" s="14" t="n">
        <f aca="false">COUNTIF(G5:G9,"Off Target")</f>
        <v>0</v>
      </c>
    </row>
    <row r="15" customFormat="false" ht="15" hidden="false" customHeight="false" outlineLevel="0" collapsed="false">
      <c r="A15" s="13" t="s">
        <v>26</v>
      </c>
      <c r="B15" s="15" t="n">
        <f aca="false">C9/C8</f>
        <v>0.340909090909091</v>
      </c>
    </row>
  </sheetData>
  <mergeCells count="2">
    <mergeCell ref="A1:H1"/>
    <mergeCell ref="A2:H2"/>
  </mergeCells>
  <conditionalFormatting sqref="G5:G9">
    <cfRule type="expression" priority="2" aboveAverage="0" equalAverage="0" bottom="0" percent="0" rank="0" text="" dxfId="0">
      <formula>$G5="On Target"</formula>
    </cfRule>
    <cfRule type="expression" priority="3" aboveAverage="0" equalAverage="0" bottom="0" percent="0" rank="0" text="" dxfId="1">
      <formula>$G5="At Risk"</formula>
    </cfRule>
    <cfRule type="expression" priority="4" aboveAverage="0" equalAverage="0" bottom="0" percent="0" rank="0" text="" dxfId="2">
      <formula>$G5="Off Target"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2026-10-23T10:43:35Z</dcterms:created>
  <dc:creator>openpyxl</dc:creator>
  <dc:description/>
  <dc:language>en-US</dc:language>
  <cp:lastModifiedBy/>
  <dcterms:modified xsi:type="dcterms:W3CDTF">2026-10-23T10:43:35Z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