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PESTLE" sheetId="2" state="visible" r:id="rId2"/>
    <sheet xmlns:r="http://schemas.openxmlformats.org/officeDocument/2006/relationships" name="SWOT" sheetId="3" state="visible" r:id="rId3"/>
    <sheet xmlns:r="http://schemas.openxmlformats.org/officeDocument/2006/relationships" name="SWOT Scoring" sheetId="4" state="visible" r:id="rId4"/>
    <sheet xmlns:r="http://schemas.openxmlformats.org/officeDocument/2006/relationships" name="Industry Analysi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rgb="00000000"/>
      <sz val="11"/>
      <scheme val="minor"/>
    </font>
    <font>
      <name val="Calibri"/>
      <family val="2"/>
      <b val="1"/>
      <color rgb="00000000"/>
      <sz val="14"/>
      <scheme val="minor"/>
    </font>
    <font>
      <name val="Calibri"/>
      <family val="2"/>
      <i val="1"/>
      <color rgb="00000000"/>
      <sz val="11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b val="1"/>
      <color rgb="00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textRotation="90"/>
    </xf>
    <xf numFmtId="2" fontId="0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Average PESTLE Score by Factor (out of 25)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595959"/>
            </a:solidFill>
            <a:ln xmlns:a="http://schemas.openxmlformats.org/drawingml/2006/main">
              <a:noFill/>
              <a:prstDash val="solid"/>
            </a:ln>
          </spPr>
          <cat>
            <numRef>
              <f>'PESTLE'!$A$27:$A$32</f>
            </numRef>
          </cat>
          <val>
            <numRef>
              <f>'PESTLE'!$C$27:$C$32</f>
            </numRef>
          </val>
        </ser>
        <dLbls>
          <numFmt formatCode="0.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  <a:latin typeface="+mn-lt"/>
                </a:defRPr>
              </a:pPr>
              <a:r>
                <a:t/>
              </a:r>
              <a:endParaRPr sz="900" b="0">
                <a:solidFill>
                  <a:srgbClr val="404040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"/>
        <majorUnit val="5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Weighted SWOT Scores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595959"/>
            </a:solidFill>
            <a:ln xmlns:a="http://schemas.openxmlformats.org/drawingml/2006/main">
              <a:noFill/>
              <a:prstDash val="solid"/>
            </a:ln>
          </spPr>
          <cat>
            <numRef>
              <f>'SWOT Scoring'!$A$41:$A$44</f>
            </numRef>
          </cat>
          <val>
            <numRef>
              <f>'SWOT Scoring'!$C$41:$C$44</f>
            </numRef>
          </val>
        </ser>
        <dLbls>
          <numFmt formatCode="0.0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  <a:latin typeface="+mn-lt"/>
                </a:defRPr>
              </a:pPr>
              <a:r>
                <a:t/>
              </a:r>
              <a:endParaRPr sz="900" b="0">
                <a:solidFill>
                  <a:srgbClr val="404040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2.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"/>
        <majorUnit val="0.5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Porter's Five Forces: Strength (1 to 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595959"/>
            </a:solidFill>
            <a:ln xmlns:a="http://schemas.openxmlformats.org/drawingml/2006/main">
              <a:noFill/>
              <a:prstDash val="solid"/>
            </a:ln>
          </spPr>
          <cat>
            <numRef>
              <f>'Industry Analysis'!$A$13:$A$17</f>
            </numRef>
          </cat>
          <val>
            <numRef>
              <f>'Industry Analysis'!$B$13:$B$17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  <a:latin typeface="+mn-lt"/>
                </a:defRPr>
              </a:pPr>
              <a:r>
                <a:t/>
              </a:r>
              <a:endParaRPr sz="900" b="0">
                <a:solidFill>
                  <a:srgbClr val="404040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+mn-lt"/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51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1" customHeight="1">
      <c r="A1" s="1" t="inlineStr">
        <is>
          <t>PZ NIGERIA LIMITED: COMPANY PROFILE</t>
        </is>
      </c>
    </row>
    <row r="2" ht="32" customHeight="1">
      <c r="A2" s="2" t="inlineStr">
        <is>
          <t>The company facts behind the PESTLE, SWOT and industry analysis in this workbook</t>
        </is>
      </c>
    </row>
    <row r="4" ht="24" customHeight="1">
      <c r="A4" s="3" t="inlineStr">
        <is>
          <t>Item</t>
        </is>
      </c>
      <c r="B4" s="3" t="inlineStr">
        <is>
          <t>Details</t>
        </is>
      </c>
    </row>
    <row r="5" ht="22" customHeight="1">
      <c r="A5" s="4" t="inlineStr">
        <is>
          <t>Company</t>
        </is>
      </c>
      <c r="B5" s="5" t="inlineStr">
        <is>
          <t>PZ Nigeria Limited, part of the UK-based PZ Cussons group</t>
        </is>
      </c>
    </row>
    <row r="6" ht="22" customHeight="1">
      <c r="A6" s="4" t="inlineStr">
        <is>
          <t>Department</t>
        </is>
      </c>
      <c r="B6" s="5" t="inlineStr">
        <is>
          <t>Marketing Department, Ilupeju, Lagos</t>
        </is>
      </c>
    </row>
    <row r="7" ht="22" customHeight="1">
      <c r="A7" s="4" t="inlineStr">
        <is>
          <t>Managing Director</t>
        </is>
      </c>
      <c r="B7" s="5" t="inlineStr">
        <is>
          <t>Mr Oghale Ogueni</t>
        </is>
      </c>
    </row>
    <row r="8" ht="22" customHeight="1">
      <c r="A8" s="4" t="inlineStr">
        <is>
          <t>Chief Financial Officer</t>
        </is>
      </c>
      <c r="B8" s="5" t="inlineStr">
        <is>
          <t>Mr Oladare Oresukan</t>
        </is>
      </c>
    </row>
    <row r="9" ht="22" customHeight="1">
      <c r="A9" s="4" t="inlineStr">
        <is>
          <t>Consumer business (Family Care)</t>
        </is>
      </c>
      <c r="B9" s="5" t="inlineStr">
        <is>
          <t>Imperial Leather, Premier Cool, Joy, Morning Fresh</t>
        </is>
      </c>
    </row>
    <row r="10" ht="22" customHeight="1">
      <c r="A10" s="4" t="inlineStr">
        <is>
          <t>Electrical business</t>
        </is>
      </c>
      <c r="B10" s="5" t="inlineStr">
        <is>
          <t>Air conditioners, fridges and freezers, washing machines</t>
        </is>
      </c>
    </row>
    <row r="11" ht="22" customHeight="1">
      <c r="A11" s="4" t="inlineStr">
        <is>
          <t>Structure</t>
        </is>
      </c>
      <c r="B11" s="5" t="inlineStr">
        <is>
          <t>Managing Director (with the CFO and HR Director) &gt; Category Managers &gt; Brand Managers &gt; Assistant Brand Managers</t>
        </is>
      </c>
    </row>
    <row r="12" ht="22" customHeight="1">
      <c r="A12" s="4" t="inlineStr">
        <is>
          <t>How it is organised</t>
        </is>
      </c>
      <c r="B12" s="5" t="inlineStr">
        <is>
          <t>Product and brand structure: each brand has its own manager, and shared support teams serve all the brands</t>
        </is>
      </c>
    </row>
    <row r="13" ht="22" customHeight="1">
      <c r="A13" s="4" t="inlineStr">
        <is>
          <t>Industry</t>
        </is>
      </c>
      <c r="B13" s="5" t="inlineStr">
        <is>
          <t>Fast-moving consumer goods (personal care and home care) and consumer electricals</t>
        </is>
      </c>
    </row>
    <row r="15" ht="18" customHeight="1">
      <c r="A15" s="6" t="inlineStr">
        <is>
          <t>What is in this workbook</t>
        </is>
      </c>
    </row>
    <row r="16" ht="30" customHeight="1">
      <c r="A16" s="4" t="inlineStr">
        <is>
          <t>PESTLE</t>
        </is>
      </c>
      <c r="B16" s="5" t="inlineStr">
        <is>
          <t>Political, Economic, Social, Technological, Legal and Environmental factors, each scored Impact × Likelihood, with a summary and chart per factor</t>
        </is>
      </c>
    </row>
    <row r="17" ht="30" customHeight="1">
      <c r="A17" s="4" t="inlineStr">
        <is>
          <t>SWOT</t>
        </is>
      </c>
      <c r="B17" s="5" t="inlineStr">
        <is>
          <t>Strengths, Weaknesses, Opportunities and Threats in a 2 × 2 matrix</t>
        </is>
      </c>
    </row>
    <row r="18" ht="30" customHeight="1">
      <c r="A18" s="4" t="inlineStr">
        <is>
          <t>SWOT Scoring</t>
        </is>
      </c>
      <c r="B18" s="5" t="inlineStr">
        <is>
          <t>The SWOT points weighted and rated (IFE and EFE matrices) and the strategy they point to</t>
        </is>
      </c>
    </row>
    <row r="19" ht="30" customHeight="1">
      <c r="A19" s="4" t="inlineStr">
        <is>
          <t>Industry Analysis</t>
        </is>
      </c>
      <c r="B19" s="5" t="inlineStr">
        <is>
          <t>Industry overview, Porter's Five Forces and the main competitors</t>
        </is>
      </c>
    </row>
    <row r="20" ht="30" customHeight="1">
      <c r="A20" s="4" t="inlineStr">
        <is>
          <t>Summary</t>
        </is>
      </c>
      <c r="B20" s="5" t="inlineStr">
        <is>
          <t>The key results from every sheet, and the recommendations</t>
        </is>
      </c>
    </row>
    <row r="22" ht="28" customHeight="1">
      <c r="A22" s="7" t="inlineStr">
        <is>
          <t>The ratings and weights are typed in; everything else is a formula. Change any rating or weight and every score, summary, chart and conclusion updates.</t>
        </is>
      </c>
    </row>
  </sheetData>
  <mergeCells count="4">
    <mergeCell ref="A2:B2"/>
    <mergeCell ref="A22:B22"/>
    <mergeCell ref="A1:B1"/>
    <mergeCell ref="A15:B15"/>
  </mergeCells>
  <printOptions horizontalCentered="1"/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4" customWidth="1" min="3" max="3"/>
    <col width="13" customWidth="1" min="4" max="4"/>
    <col width="13" customWidth="1" min="5" max="5"/>
    <col width="16" customWidth="1" min="6" max="6"/>
    <col width="14" customWidth="1" min="7" max="7"/>
    <col width="11" customWidth="1" min="8" max="8"/>
  </cols>
  <sheetData>
    <row r="1" ht="21" customHeight="1">
      <c r="A1" s="1" t="inlineStr">
        <is>
          <t>PESTLE ANALYSIS: PZ NIGERIA LIMITED</t>
        </is>
      </c>
    </row>
    <row r="2" ht="32" customHeight="1">
      <c r="A2" s="2" t="inlineStr">
        <is>
          <t>Impact and Likelihood are rated 1 (low) to 5 (high). Score = Impact × Likelihood (1 to 25). Priority: High 16 and above, Medium 9 to 15, Low below 9.</t>
        </is>
      </c>
    </row>
    <row r="4" ht="30" customHeight="1">
      <c r="A4" s="3" t="inlineStr">
        <is>
          <t>Factor</t>
        </is>
      </c>
      <c r="B4" s="3" t="inlineStr">
        <is>
          <t>Issue</t>
        </is>
      </c>
      <c r="C4" s="3" t="inlineStr">
        <is>
          <t>Effect on PZ Nigeria</t>
        </is>
      </c>
      <c r="D4" s="8" t="inlineStr">
        <is>
          <t>Type</t>
        </is>
      </c>
      <c r="E4" s="8" t="inlineStr">
        <is>
          <t>Impact (1-5)</t>
        </is>
      </c>
      <c r="F4" s="8" t="inlineStr">
        <is>
          <t>Likelihood (1-5)</t>
        </is>
      </c>
      <c r="G4" s="8" t="inlineStr">
        <is>
          <t>Score</t>
        </is>
      </c>
      <c r="H4" s="8" t="inlineStr">
        <is>
          <t>Priority</t>
        </is>
      </c>
    </row>
    <row r="5" ht="30" customHeight="1">
      <c r="A5" s="4" t="inlineStr">
        <is>
          <t>Political</t>
        </is>
      </c>
      <c r="B5" s="5" t="inlineStr">
        <is>
          <t>Fuel subsidy removal and FX reforms</t>
        </is>
      </c>
      <c r="C5" s="5" t="inlineStr">
        <is>
          <t>Higher fuel and transport costs; easier access to dollars over time</t>
        </is>
      </c>
      <c r="D5" s="9" t="inlineStr">
        <is>
          <t>Threat</t>
        </is>
      </c>
      <c r="E5" s="9" t="n">
        <v>4</v>
      </c>
      <c r="F5" s="9" t="n">
        <v>5</v>
      </c>
      <c r="G5" s="10">
        <f>E5*F5</f>
        <v>20</v>
      </c>
      <c r="H5" s="9" t="str">
        <f>IF(G5&gt;=16,"High",IF(G5&gt;=9,"Medium","Low"))</f>
        <v>High</v>
      </c>
    </row>
    <row r="6" ht="30" customHeight="1">
      <c r="A6" s="4" t="inlineStr">
        <is>
          <t>Political</t>
        </is>
      </c>
      <c r="B6" s="5" t="inlineStr">
        <is>
          <t>Import duties and levies</t>
        </is>
      </c>
      <c r="C6" s="5" t="inlineStr">
        <is>
          <t>Imported raw materials and parts cost more</t>
        </is>
      </c>
      <c r="D6" s="9" t="inlineStr">
        <is>
          <t>Threat</t>
        </is>
      </c>
      <c r="E6" s="9" t="n">
        <v>3</v>
      </c>
      <c r="F6" s="9" t="n">
        <v>4</v>
      </c>
      <c r="G6" s="10">
        <f>E6*F6</f>
        <v>12</v>
      </c>
      <c r="H6" s="9" t="str">
        <f>IF(G6&gt;=16,"High",IF(G6&gt;=9,"Medium","Low"))</f>
        <v>Medium</v>
      </c>
    </row>
    <row r="7" ht="30" customHeight="1">
      <c r="A7" s="4" t="inlineStr">
        <is>
          <t>Political</t>
        </is>
      </c>
      <c r="B7" s="5" t="inlineStr">
        <is>
          <t>2027 elections and policy changes</t>
        </is>
      </c>
      <c r="C7" s="5" t="inlineStr">
        <is>
          <t>Uncertainty can delay investment and change the rules</t>
        </is>
      </c>
      <c r="D7" s="9" t="inlineStr">
        <is>
          <t>Threat</t>
        </is>
      </c>
      <c r="E7" s="9" t="n">
        <v>3</v>
      </c>
      <c r="F7" s="9" t="n">
        <v>3</v>
      </c>
      <c r="G7" s="10">
        <f>E7*F7</f>
        <v>9</v>
      </c>
      <c r="H7" s="9" t="str">
        <f>IF(G7&gt;=16,"High",IF(G7&gt;=9,"Medium","Low"))</f>
        <v>Medium</v>
      </c>
    </row>
    <row r="8" ht="30" customHeight="1">
      <c r="A8" s="4" t="inlineStr">
        <is>
          <t>Economic</t>
        </is>
      </c>
      <c r="B8" s="5" t="inlineStr">
        <is>
          <t>Naira devaluation and FX shortages</t>
        </is>
      </c>
      <c r="C8" s="5" t="inlineStr">
        <is>
          <t>Imported raw materials cost much more; losses on foreign-currency debts</t>
        </is>
      </c>
      <c r="D8" s="9" t="inlineStr">
        <is>
          <t>Threat</t>
        </is>
      </c>
      <c r="E8" s="9" t="n">
        <v>5</v>
      </c>
      <c r="F8" s="9" t="n">
        <v>5</v>
      </c>
      <c r="G8" s="10">
        <f>E8*F8</f>
        <v>25</v>
      </c>
      <c r="H8" s="9" t="str">
        <f>IF(G8&gt;=16,"High",IF(G8&gt;=9,"Medium","Low"))</f>
        <v>High</v>
      </c>
    </row>
    <row r="9" ht="30" customHeight="1">
      <c r="A9" s="4" t="inlineStr">
        <is>
          <t>Economic</t>
        </is>
      </c>
      <c r="B9" s="5" t="inlineStr">
        <is>
          <t>High inflation</t>
        </is>
      </c>
      <c r="C9" s="5" t="inlineStr">
        <is>
          <t>Shoppers buy less or switch to cheaper brands</t>
        </is>
      </c>
      <c r="D9" s="9" t="inlineStr">
        <is>
          <t>Threat</t>
        </is>
      </c>
      <c r="E9" s="9" t="n">
        <v>5</v>
      </c>
      <c r="F9" s="9" t="n">
        <v>5</v>
      </c>
      <c r="G9" s="10">
        <f>E9*F9</f>
        <v>25</v>
      </c>
      <c r="H9" s="9" t="str">
        <f>IF(G9&gt;=16,"High",IF(G9&gt;=9,"Medium","Low"))</f>
        <v>High</v>
      </c>
    </row>
    <row r="10" ht="30" customHeight="1">
      <c r="A10" s="4" t="inlineStr">
        <is>
          <t>Economic</t>
        </is>
      </c>
      <c r="B10" s="5" t="inlineStr">
        <is>
          <t>High interest rates</t>
        </is>
      </c>
      <c r="C10" s="5" t="inlineStr">
        <is>
          <t>Borrowing is expensive; fewer appliances bought on credit</t>
        </is>
      </c>
      <c r="D10" s="9" t="inlineStr">
        <is>
          <t>Threat</t>
        </is>
      </c>
      <c r="E10" s="9" t="n">
        <v>3</v>
      </c>
      <c r="F10" s="9" t="n">
        <v>4</v>
      </c>
      <c r="G10" s="10">
        <f>E10*F10</f>
        <v>12</v>
      </c>
      <c r="H10" s="9" t="str">
        <f>IF(G10&gt;=16,"High",IF(G10&gt;=9,"Medium","Low"))</f>
        <v>Medium</v>
      </c>
    </row>
    <row r="11" ht="30" customHeight="1">
      <c r="A11" s="4" t="inlineStr">
        <is>
          <t>Social</t>
        </is>
      </c>
      <c r="B11" s="5" t="inlineStr">
        <is>
          <t>Large, young, growing population</t>
        </is>
      </c>
      <c r="C11" s="5" t="inlineStr">
        <is>
          <t>A big and growing market for soaps, detergents and appliances</t>
        </is>
      </c>
      <c r="D11" s="9" t="inlineStr">
        <is>
          <t>Opportunity</t>
        </is>
      </c>
      <c r="E11" s="9" t="n">
        <v>4</v>
      </c>
      <c r="F11" s="9" t="n">
        <v>5</v>
      </c>
      <c r="G11" s="10">
        <f>E11*F11</f>
        <v>20</v>
      </c>
      <c r="H11" s="9" t="str">
        <f>IF(G11&gt;=16,"High",IF(G11&gt;=9,"Medium","Low"))</f>
        <v>High</v>
      </c>
    </row>
    <row r="12" ht="30" customHeight="1">
      <c r="A12" s="4" t="inlineStr">
        <is>
          <t>Social</t>
        </is>
      </c>
      <c r="B12" s="5" t="inlineStr">
        <is>
          <t>Price-sensitive shoppers</t>
        </is>
      </c>
      <c r="C12" s="5" t="inlineStr">
        <is>
          <t>Demand for smaller, cheaper packs</t>
        </is>
      </c>
      <c r="D12" s="9" t="inlineStr">
        <is>
          <t>Opportunity</t>
        </is>
      </c>
      <c r="E12" s="9" t="n">
        <v>4</v>
      </c>
      <c r="F12" s="9" t="n">
        <v>4</v>
      </c>
      <c r="G12" s="10">
        <f>E12*F12</f>
        <v>16</v>
      </c>
      <c r="H12" s="9" t="str">
        <f>IF(G12&gt;=16,"High",IF(G12&gt;=9,"Medium","Low"))</f>
        <v>High</v>
      </c>
    </row>
    <row r="13" ht="30" customHeight="1">
      <c r="A13" s="4" t="inlineStr">
        <is>
          <t>Social</t>
        </is>
      </c>
      <c r="B13" s="5" t="inlineStr">
        <is>
          <t>Growing hygiene awareness</t>
        </is>
      </c>
      <c r="C13" s="5" t="inlineStr">
        <is>
          <t>More demand for soaps and cleaning products</t>
        </is>
      </c>
      <c r="D13" s="9" t="inlineStr">
        <is>
          <t>Opportunity</t>
        </is>
      </c>
      <c r="E13" s="9" t="n">
        <v>3</v>
      </c>
      <c r="F13" s="9" t="n">
        <v>4</v>
      </c>
      <c r="G13" s="10">
        <f>E13*F13</f>
        <v>12</v>
      </c>
      <c r="H13" s="9" t="str">
        <f>IF(G13&gt;=16,"High",IF(G13&gt;=9,"Medium","Low"))</f>
        <v>Medium</v>
      </c>
    </row>
    <row r="14" ht="30" customHeight="1">
      <c r="A14" s="4" t="inlineStr">
        <is>
          <t>Technological</t>
        </is>
      </c>
      <c r="B14" s="5" t="inlineStr">
        <is>
          <t>Social media and digital marketing</t>
        </is>
      </c>
      <c r="C14" s="5" t="inlineStr">
        <is>
          <t>Cheaper, targeted adverts that reach young buyers</t>
        </is>
      </c>
      <c r="D14" s="9" t="inlineStr">
        <is>
          <t>Opportunity</t>
        </is>
      </c>
      <c r="E14" s="9" t="n">
        <v>3</v>
      </c>
      <c r="F14" s="9" t="n">
        <v>5</v>
      </c>
      <c r="G14" s="10">
        <f>E14*F14</f>
        <v>15</v>
      </c>
      <c r="H14" s="9" t="str">
        <f>IF(G14&gt;=16,"High",IF(G14&gt;=9,"Medium","Low"))</f>
        <v>Medium</v>
      </c>
    </row>
    <row r="15" ht="30" customHeight="1">
      <c r="A15" s="4" t="inlineStr">
        <is>
          <t>Technological</t>
        </is>
      </c>
      <c r="B15" s="5" t="inlineStr">
        <is>
          <t>E-commerce and modern retail</t>
        </is>
      </c>
      <c r="C15" s="5" t="inlineStr">
        <is>
          <t>New ways to sell: online stores and supermarkets</t>
        </is>
      </c>
      <c r="D15" s="9" t="inlineStr">
        <is>
          <t>Opportunity</t>
        </is>
      </c>
      <c r="E15" s="9" t="n">
        <v>3</v>
      </c>
      <c r="F15" s="9" t="n">
        <v>4</v>
      </c>
      <c r="G15" s="10">
        <f>E15*F15</f>
        <v>12</v>
      </c>
      <c r="H15" s="9" t="str">
        <f>IF(G15&gt;=16,"High",IF(G15&gt;=9,"Medium","Low"))</f>
        <v>Medium</v>
      </c>
    </row>
    <row r="16" ht="30" customHeight="1">
      <c r="A16" s="4" t="inlineStr">
        <is>
          <t>Technological</t>
        </is>
      </c>
      <c r="B16" s="5" t="inlineStr">
        <is>
          <t>Poor power supply</t>
        </is>
      </c>
      <c r="C16" s="5" t="inlineStr">
        <is>
          <t>Factories spend more on diesel and solar; demand for energy-saving appliances</t>
        </is>
      </c>
      <c r="D16" s="9" t="inlineStr">
        <is>
          <t>Threat</t>
        </is>
      </c>
      <c r="E16" s="9" t="n">
        <v>4</v>
      </c>
      <c r="F16" s="9" t="n">
        <v>4</v>
      </c>
      <c r="G16" s="10">
        <f>E16*F16</f>
        <v>16</v>
      </c>
      <c r="H16" s="9" t="str">
        <f>IF(G16&gt;=16,"High",IF(G16&gt;=9,"Medium","Low"))</f>
        <v>High</v>
      </c>
    </row>
    <row r="17" ht="30" customHeight="1">
      <c r="A17" s="4" t="inlineStr">
        <is>
          <t>Legal</t>
        </is>
      </c>
      <c r="B17" s="5" t="inlineStr">
        <is>
          <t>NAFDAC and SON product rules</t>
        </is>
      </c>
      <c r="C17" s="5" t="inlineStr">
        <is>
          <t>Every product must be registered and meet standards</t>
        </is>
      </c>
      <c r="D17" s="9" t="inlineStr">
        <is>
          <t>Threat</t>
        </is>
      </c>
      <c r="E17" s="9" t="n">
        <v>3</v>
      </c>
      <c r="F17" s="9" t="n">
        <v>5</v>
      </c>
      <c r="G17" s="10">
        <f>E17*F17</f>
        <v>15</v>
      </c>
      <c r="H17" s="9" t="str">
        <f>IF(G17&gt;=16,"High",IF(G17&gt;=9,"Medium","Low"))</f>
        <v>Medium</v>
      </c>
    </row>
    <row r="18" ht="30" customHeight="1">
      <c r="A18" s="4" t="inlineStr">
        <is>
          <t>Legal</t>
        </is>
      </c>
      <c r="B18" s="5" t="inlineStr">
        <is>
          <t>FCCPC and ARCON rules</t>
        </is>
      </c>
      <c r="C18" s="5" t="inlineStr">
        <is>
          <t>Adverts need approval; fair prices and clear labels</t>
        </is>
      </c>
      <c r="D18" s="9" t="inlineStr">
        <is>
          <t>Threat</t>
        </is>
      </c>
      <c r="E18" s="9" t="n">
        <v>2</v>
      </c>
      <c r="F18" s="9" t="n">
        <v>4</v>
      </c>
      <c r="G18" s="10">
        <f>E18*F18</f>
        <v>8</v>
      </c>
      <c r="H18" s="9" t="str">
        <f>IF(G18&gt;=16,"High",IF(G18&gt;=9,"Medium","Low"))</f>
        <v>Low</v>
      </c>
    </row>
    <row r="19" ht="30" customHeight="1">
      <c r="A19" s="4" t="inlineStr">
        <is>
          <t>Legal</t>
        </is>
      </c>
      <c r="B19" s="5" t="inlineStr">
        <is>
          <t>Tax reforms and ₦70,000 minimum wage</t>
        </is>
      </c>
      <c r="C19" s="5" t="inlineStr">
        <is>
          <t>Higher staff costs and new tax rules to follow</t>
        </is>
      </c>
      <c r="D19" s="9" t="inlineStr">
        <is>
          <t>Threat</t>
        </is>
      </c>
      <c r="E19" s="9" t="n">
        <v>3</v>
      </c>
      <c r="F19" s="9" t="n">
        <v>4</v>
      </c>
      <c r="G19" s="10">
        <f>E19*F19</f>
        <v>12</v>
      </c>
      <c r="H19" s="9" t="str">
        <f>IF(G19&gt;=16,"High",IF(G19&gt;=9,"Medium","Low"))</f>
        <v>Medium</v>
      </c>
    </row>
    <row r="20" ht="30" customHeight="1">
      <c r="A20" s="4" t="inlineStr">
        <is>
          <t>Environmental</t>
        </is>
      </c>
      <c r="B20" s="5" t="inlineStr">
        <is>
          <t>Plastic waste rules</t>
        </is>
      </c>
      <c r="C20" s="5" t="inlineStr">
        <is>
          <t>Must change packaging and pay for recycling (EPR)</t>
        </is>
      </c>
      <c r="D20" s="9" t="inlineStr">
        <is>
          <t>Threat</t>
        </is>
      </c>
      <c r="E20" s="9" t="n">
        <v>3</v>
      </c>
      <c r="F20" s="9" t="n">
        <v>4</v>
      </c>
      <c r="G20" s="10">
        <f>E20*F20</f>
        <v>12</v>
      </c>
      <c r="H20" s="9" t="str">
        <f>IF(G20&gt;=16,"High",IF(G20&gt;=9,"Medium","Low"))</f>
        <v>Medium</v>
      </c>
    </row>
    <row r="21" ht="30" customHeight="1">
      <c r="A21" s="4" t="inlineStr">
        <is>
          <t>Environmental</t>
        </is>
      </c>
      <c r="B21" s="5" t="inlineStr">
        <is>
          <t>Flooding and climate change</t>
        </is>
      </c>
      <c r="C21" s="5" t="inlineStr">
        <is>
          <t>Floods disrupt deliveries and damage stock</t>
        </is>
      </c>
      <c r="D21" s="9" t="inlineStr">
        <is>
          <t>Threat</t>
        </is>
      </c>
      <c r="E21" s="9" t="n">
        <v>3</v>
      </c>
      <c r="F21" s="9" t="n">
        <v>3</v>
      </c>
      <c r="G21" s="10">
        <f>E21*F21</f>
        <v>9</v>
      </c>
      <c r="H21" s="9" t="str">
        <f>IF(G21&gt;=16,"High",IF(G21&gt;=9,"Medium","Low"))</f>
        <v>Medium</v>
      </c>
    </row>
    <row r="22" ht="30" customHeight="1">
      <c r="A22" s="4" t="inlineStr">
        <is>
          <t>Environmental</t>
        </is>
      </c>
      <c r="B22" s="5" t="inlineStr">
        <is>
          <t>Demand for eco-friendly products</t>
        </is>
      </c>
      <c r="C22" s="5" t="inlineStr">
        <is>
          <t>A chance to launch greener packs and appliances</t>
        </is>
      </c>
      <c r="D22" s="9" t="inlineStr">
        <is>
          <t>Opportunity</t>
        </is>
      </c>
      <c r="E22" s="9" t="n">
        <v>2</v>
      </c>
      <c r="F22" s="9" t="n">
        <v>3</v>
      </c>
      <c r="G22" s="10">
        <f>E22*F22</f>
        <v>6</v>
      </c>
      <c r="H22" s="9" t="str">
        <f>IF(G22&gt;=16,"High",IF(G22&gt;=9,"Medium","Low"))</f>
        <v>Low</v>
      </c>
    </row>
    <row r="23" ht="22" customHeight="1">
      <c r="A23" s="4" t="inlineStr">
        <is>
          <t>Average score (all issues)</t>
        </is>
      </c>
      <c r="B23" s="11" t="n"/>
      <c r="C23" s="11" t="n"/>
      <c r="D23" s="11" t="n"/>
      <c r="E23" s="11" t="n"/>
      <c r="F23" s="11" t="n"/>
      <c r="G23" s="12">
        <f>AVERAGE(G5:G22)</f>
        <v>14.2222222222222</v>
      </c>
      <c r="H23" s="10" t="str">
        <f>IF(G23&gt;=16,"High",IF(G23&gt;=9,"Medium","Low"))</f>
        <v>Medium</v>
      </c>
    </row>
    <row r="25" ht="18" customHeight="1">
      <c r="A25" s="6" t="inlineStr">
        <is>
          <t>PESTLE summary by factor</t>
        </is>
      </c>
    </row>
    <row r="26" ht="30" customHeight="1">
      <c r="A26" s="3" t="inlineStr">
        <is>
          <t>Factor</t>
        </is>
      </c>
      <c r="B26" s="8" t="inlineStr">
        <is>
          <t>Number of issues (COUNTIF)</t>
        </is>
      </c>
      <c r="C26" s="8" t="inlineStr">
        <is>
          <t>Average score (AVERAGEIF)</t>
        </is>
      </c>
      <c r="D26" s="8" t="inlineStr">
        <is>
          <t>Highest score</t>
        </is>
      </c>
      <c r="E26" s="8" t="inlineStr">
        <is>
          <t>High priority</t>
        </is>
      </c>
      <c r="F26" s="8" t="inlineStr">
        <is>
          <t>Threats</t>
        </is>
      </c>
      <c r="G26" s="8" t="inlineStr">
        <is>
          <t>Opportunities</t>
        </is>
      </c>
      <c r="H26" s="8" t="inlineStr">
        <is>
          <t>Rank</t>
        </is>
      </c>
    </row>
    <row r="27" ht="21" customHeight="1">
      <c r="A27" s="4" t="inlineStr">
        <is>
          <t>Political</t>
        </is>
      </c>
      <c r="B27" s="9">
        <f>COUNTIF($A$5:$A$22,A27)</f>
        <v>3</v>
      </c>
      <c r="C27" s="12">
        <f>AVERAGEIF($A$5:$A$22,A27,$G$5:$G$22)</f>
        <v>13.6666666666667</v>
      </c>
      <c r="D27" s="9">
        <f>SUMPRODUCT(MAX(($A$5:$A$22=A27)*$G$5:$G$22))</f>
        <v>20</v>
      </c>
      <c r="E27" s="9">
        <f>COUNTIFS($A$5:$A$22,A27,$H$5:$H$22,"High")</f>
        <v>1</v>
      </c>
      <c r="F27" s="9">
        <f>COUNTIFS($A$5:$A$22,A27,$D$5:$D$22,"Threat")</f>
        <v>3</v>
      </c>
      <c r="G27" s="9">
        <f>COUNTIFS($A$5:$A$22,A27,$D$5:$D$22,"Opportunity")</f>
        <v>0</v>
      </c>
      <c r="H27" s="9">
        <f>RANK(C27,$C$27:$C$32)</f>
        <v>4</v>
      </c>
    </row>
    <row r="28" ht="21" customHeight="1">
      <c r="A28" s="4" t="inlineStr">
        <is>
          <t>Economic</t>
        </is>
      </c>
      <c r="B28" s="9">
        <f>COUNTIF($A$5:$A$22,A28)</f>
        <v>3</v>
      </c>
      <c r="C28" s="12">
        <f>AVERAGEIF($A$5:$A$22,A28,$G$5:$G$22)</f>
        <v>20.6666666666667</v>
      </c>
      <c r="D28" s="9">
        <f>SUMPRODUCT(MAX(($A$5:$A$22=A28)*$G$5:$G$22))</f>
        <v>25</v>
      </c>
      <c r="E28" s="9">
        <f>COUNTIFS($A$5:$A$22,A28,$H$5:$H$22,"High")</f>
        <v>2</v>
      </c>
      <c r="F28" s="9">
        <f>COUNTIFS($A$5:$A$22,A28,$D$5:$D$22,"Threat")</f>
        <v>3</v>
      </c>
      <c r="G28" s="9">
        <f>COUNTIFS($A$5:$A$22,A28,$D$5:$D$22,"Opportunity")</f>
        <v>0</v>
      </c>
      <c r="H28" s="9">
        <f>RANK(C28,$C$27:$C$32)</f>
        <v>1</v>
      </c>
    </row>
    <row r="29" ht="21" customHeight="1">
      <c r="A29" s="4" t="inlineStr">
        <is>
          <t>Social</t>
        </is>
      </c>
      <c r="B29" s="9">
        <f>COUNTIF($A$5:$A$22,A29)</f>
        <v>3</v>
      </c>
      <c r="C29" s="12">
        <f>AVERAGEIF($A$5:$A$22,A29,$G$5:$G$22)</f>
        <v>16</v>
      </c>
      <c r="D29" s="9">
        <f>SUMPRODUCT(MAX(($A$5:$A$22=A29)*$G$5:$G$22))</f>
        <v>20</v>
      </c>
      <c r="E29" s="9">
        <f>COUNTIFS($A$5:$A$22,A29,$H$5:$H$22,"High")</f>
        <v>2</v>
      </c>
      <c r="F29" s="9">
        <f>COUNTIFS($A$5:$A$22,A29,$D$5:$D$22,"Threat")</f>
        <v>0</v>
      </c>
      <c r="G29" s="9">
        <f>COUNTIFS($A$5:$A$22,A29,$D$5:$D$22,"Opportunity")</f>
        <v>3</v>
      </c>
      <c r="H29" s="9">
        <f>RANK(C29,$C$27:$C$32)</f>
        <v>2</v>
      </c>
    </row>
    <row r="30" ht="21" customHeight="1">
      <c r="A30" s="4" t="inlineStr">
        <is>
          <t>Technological</t>
        </is>
      </c>
      <c r="B30" s="9">
        <f>COUNTIF($A$5:$A$22,A30)</f>
        <v>3</v>
      </c>
      <c r="C30" s="12">
        <f>AVERAGEIF($A$5:$A$22,A30,$G$5:$G$22)</f>
        <v>14.3333333333333</v>
      </c>
      <c r="D30" s="9">
        <f>SUMPRODUCT(MAX(($A$5:$A$22=A30)*$G$5:$G$22))</f>
        <v>16</v>
      </c>
      <c r="E30" s="9">
        <f>COUNTIFS($A$5:$A$22,A30,$H$5:$H$22,"High")</f>
        <v>1</v>
      </c>
      <c r="F30" s="9">
        <f>COUNTIFS($A$5:$A$22,A30,$D$5:$D$22,"Threat")</f>
        <v>1</v>
      </c>
      <c r="G30" s="9">
        <f>COUNTIFS($A$5:$A$22,A30,$D$5:$D$22,"Opportunity")</f>
        <v>2</v>
      </c>
      <c r="H30" s="9">
        <f>RANK(C30,$C$27:$C$32)</f>
        <v>3</v>
      </c>
    </row>
    <row r="31" ht="21" customHeight="1">
      <c r="A31" s="4" t="inlineStr">
        <is>
          <t>Legal</t>
        </is>
      </c>
      <c r="B31" s="9">
        <f>COUNTIF($A$5:$A$22,A31)</f>
        <v>3</v>
      </c>
      <c r="C31" s="12">
        <f>AVERAGEIF($A$5:$A$22,A31,$G$5:$G$22)</f>
        <v>11.6666666666667</v>
      </c>
      <c r="D31" s="9">
        <f>SUMPRODUCT(MAX(($A$5:$A$22=A31)*$G$5:$G$22))</f>
        <v>15</v>
      </c>
      <c r="E31" s="9">
        <f>COUNTIFS($A$5:$A$22,A31,$H$5:$H$22,"High")</f>
        <v>0</v>
      </c>
      <c r="F31" s="9">
        <f>COUNTIFS($A$5:$A$22,A31,$D$5:$D$22,"Threat")</f>
        <v>3</v>
      </c>
      <c r="G31" s="9">
        <f>COUNTIFS($A$5:$A$22,A31,$D$5:$D$22,"Opportunity")</f>
        <v>0</v>
      </c>
      <c r="H31" s="9">
        <f>RANK(C31,$C$27:$C$32)</f>
        <v>5</v>
      </c>
    </row>
    <row r="32" ht="21" customHeight="1">
      <c r="A32" s="4" t="inlineStr">
        <is>
          <t>Environmental</t>
        </is>
      </c>
      <c r="B32" s="9">
        <f>COUNTIF($A$5:$A$22,A32)</f>
        <v>3</v>
      </c>
      <c r="C32" s="12">
        <f>AVERAGEIF($A$5:$A$22,A32,$G$5:$G$22)</f>
        <v>9</v>
      </c>
      <c r="D32" s="9">
        <f>SUMPRODUCT(MAX(($A$5:$A$22=A32)*$G$5:$G$22))</f>
        <v>12</v>
      </c>
      <c r="E32" s="9">
        <f>COUNTIFS($A$5:$A$22,A32,$H$5:$H$22,"High")</f>
        <v>0</v>
      </c>
      <c r="F32" s="9">
        <f>COUNTIFS($A$5:$A$22,A32,$D$5:$D$22,"Threat")</f>
        <v>2</v>
      </c>
      <c r="G32" s="9">
        <f>COUNTIFS($A$5:$A$22,A32,$D$5:$D$22,"Opportunity")</f>
        <v>1</v>
      </c>
      <c r="H32" s="9">
        <f>RANK(C32,$C$27:$C$32)</f>
        <v>6</v>
      </c>
    </row>
    <row r="33" ht="22" customHeight="1">
      <c r="A33" s="4" t="inlineStr">
        <is>
          <t>All factors</t>
        </is>
      </c>
      <c r="B33" s="10">
        <f>SUM(B27:B32)</f>
        <v>18</v>
      </c>
      <c r="C33" s="12">
        <f>AVERAGE(G5:G22)</f>
        <v>14.2222222222222</v>
      </c>
      <c r="D33" s="10">
        <f>MAX(G5:G22)</f>
        <v>25</v>
      </c>
      <c r="E33" s="10">
        <f>SUM(E27:E32)</f>
        <v>6</v>
      </c>
      <c r="F33" s="10">
        <f>SUM(F27:F32)</f>
        <v>12</v>
      </c>
      <c r="G33" s="10">
        <f>SUM(G27:G32)</f>
        <v>6</v>
      </c>
      <c r="H33" s="10" t="n"/>
    </row>
    <row r="35" ht="18" customHeight="1">
      <c r="A35" s="6" t="inlineStr">
        <is>
          <t>Key findings</t>
        </is>
      </c>
    </row>
    <row r="36" ht="24" customHeight="1">
      <c r="A36" s="3" t="inlineStr">
        <is>
          <t>Finding</t>
        </is>
      </c>
      <c r="B36" s="13" t="n"/>
      <c r="C36" s="3" t="inlineStr">
        <is>
          <t>Result</t>
        </is>
      </c>
      <c r="D36" s="13" t="n"/>
      <c r="E36" s="13" t="n"/>
      <c r="F36" s="13" t="n"/>
      <c r="G36" s="8" t="inlineStr">
        <is>
          <t>Excel functions</t>
        </is>
      </c>
      <c r="H36" s="13" t="n"/>
    </row>
    <row r="37" ht="21" customHeight="1">
      <c r="A37" s="4" t="inlineStr">
        <is>
          <t>Most important factor</t>
        </is>
      </c>
      <c r="B37" s="11" t="n"/>
      <c r="C37" s="5" t="str">
        <f>INDEX($A$27:$A$32,MATCH(MAX($C$27:$C$32),$C$27:$C$32,0))&amp;" (average score "&amp;TEXT(MAX($C$27:$C$32),"0.0")&amp;")"</f>
        <v>Economic (average score 20.7)</v>
      </c>
      <c r="D37" s="11" t="n"/>
      <c r="E37" s="11" t="n"/>
      <c r="F37" s="11" t="n"/>
      <c r="G37" s="9" t="inlineStr">
        <is>
          <t>INDEX, MATCH, MAX</t>
        </is>
      </c>
      <c r="H37" s="11" t="n"/>
    </row>
    <row r="38" ht="21" customHeight="1">
      <c r="A38" s="4" t="inlineStr">
        <is>
          <t>Least important factor</t>
        </is>
      </c>
      <c r="B38" s="11" t="n"/>
      <c r="C38" s="5" t="str">
        <f>INDEX($A$27:$A$32,MATCH(MIN($C$27:$C$32),$C$27:$C$32,0))&amp;" (average score "&amp;TEXT(MIN($C$27:$C$32),"0.0")&amp;")"</f>
        <v>Environmental (average score 9.0)</v>
      </c>
      <c r="D38" s="11" t="n"/>
      <c r="E38" s="11" t="n"/>
      <c r="F38" s="11" t="n"/>
      <c r="G38" s="9" t="inlineStr">
        <is>
          <t>INDEX, MATCH, MIN</t>
        </is>
      </c>
      <c r="H38" s="11" t="n"/>
    </row>
    <row r="39" ht="21" customHeight="1">
      <c r="A39" s="4" t="inlineStr">
        <is>
          <t>Highest-scoring issue</t>
        </is>
      </c>
      <c r="B39" s="11" t="n"/>
      <c r="C39" s="5" t="str">
        <f>INDEX($B$5:$B$22,MATCH(MAX($G$5:$G$22),$G$5:$G$22,0))&amp;" (score "&amp;MAX($G$5:$G$22)&amp;" of 25)"</f>
        <v>Naira devaluation and FX shortages (score 25 of 25)</v>
      </c>
      <c r="D39" s="11" t="n"/>
      <c r="E39" s="11" t="n"/>
      <c r="F39" s="11" t="n"/>
      <c r="G39" s="9" t="inlineStr">
        <is>
          <t>INDEX, MATCH, MAX</t>
        </is>
      </c>
      <c r="H39" s="11" t="n"/>
    </row>
    <row r="40" ht="21" customHeight="1">
      <c r="A40" s="4" t="inlineStr">
        <is>
          <t>High-priority issues</t>
        </is>
      </c>
      <c r="B40" s="11" t="n"/>
      <c r="C40" s="5" t="str">
        <f>COUNTIF($H$5:$H$22,"High")&amp;" of "&amp;COUNTA($A$5:$A$22)&amp;" issues"</f>
        <v>6 of 18 issues</v>
      </c>
      <c r="D40" s="11" t="n"/>
      <c r="E40" s="11" t="n"/>
      <c r="F40" s="11" t="n"/>
      <c r="G40" s="9" t="inlineStr">
        <is>
          <t>COUNTIF, COUNTA</t>
        </is>
      </c>
      <c r="H40" s="11" t="n"/>
    </row>
    <row r="41" ht="21" customHeight="1">
      <c r="A41" s="4" t="inlineStr">
        <is>
          <t>Threats and opportunities</t>
        </is>
      </c>
      <c r="B41" s="11" t="n"/>
      <c r="C41" s="5" t="str">
        <f>COUNTIF($D$5:$D$22,"Threat")&amp;" threats, "&amp;COUNTIF($D$5:$D$22,"Opportunity")&amp;" opportunities"</f>
        <v>12 threats, 6 opportunities</v>
      </c>
      <c r="D41" s="11" t="n"/>
      <c r="E41" s="11" t="n"/>
      <c r="F41" s="11" t="n"/>
      <c r="G41" s="9" t="inlineStr">
        <is>
          <t>COUNTIF</t>
        </is>
      </c>
      <c r="H41" s="11" t="n"/>
    </row>
    <row r="43" ht="18" customHeight="1">
      <c r="A43" s="6" t="inlineStr">
        <is>
          <t>Chart: average PESTLE score by factor</t>
        </is>
      </c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24">
    <mergeCell ref="C39:F39"/>
    <mergeCell ref="C38:F38"/>
    <mergeCell ref="A36:B36"/>
    <mergeCell ref="G36:H36"/>
    <mergeCell ref="A1:H1"/>
    <mergeCell ref="C37:F37"/>
    <mergeCell ref="G39:H39"/>
    <mergeCell ref="G38:H38"/>
    <mergeCell ref="A25:H25"/>
    <mergeCell ref="A41:B41"/>
    <mergeCell ref="A23:F23"/>
    <mergeCell ref="A37:B37"/>
    <mergeCell ref="G37:H37"/>
    <mergeCell ref="A2:H2"/>
    <mergeCell ref="C41:F41"/>
    <mergeCell ref="C40:F40"/>
    <mergeCell ref="A38:B38"/>
    <mergeCell ref="A35:H35"/>
    <mergeCell ref="A43:H43"/>
    <mergeCell ref="G41:H41"/>
    <mergeCell ref="A40:B40"/>
    <mergeCell ref="G40:H40"/>
    <mergeCell ref="C36:F36"/>
    <mergeCell ref="A39:B39"/>
  </mergeCells>
  <printOptions horizontalCentered="1"/>
  <pageMargins left="0.7" right="0.7" top="0.75" bottom="0.75" header="0.3" footer="0.3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13" customWidth="1" min="1" max="1"/>
    <col width="66" customWidth="1" min="2" max="2"/>
    <col width="66" customWidth="1" min="3" max="3"/>
  </cols>
  <sheetData>
    <row r="1" ht="21" customHeight="1">
      <c r="A1" s="1" t="inlineStr">
        <is>
          <t>SWOT ANALYSIS: PZ NIGERIA LIMITED</t>
        </is>
      </c>
    </row>
    <row r="2" ht="32" customHeight="1">
      <c r="A2" s="2" t="inlineStr">
        <is>
          <t>Strengths and weaknesses are inside the company; opportunities and threats come from outside it</t>
        </is>
      </c>
    </row>
    <row r="4" ht="24" customHeight="1">
      <c r="A4" s="14" t="n"/>
      <c r="B4" s="8" t="inlineStr">
        <is>
          <t>HELPFUL</t>
        </is>
      </c>
      <c r="C4" s="8" t="inlineStr">
        <is>
          <t>HARMFUL</t>
        </is>
      </c>
    </row>
    <row r="5" ht="24" customHeight="1">
      <c r="A5" s="15" t="inlineStr">
        <is>
          <t>INTERNAL</t>
        </is>
      </c>
      <c r="B5" s="3" t="inlineStr">
        <is>
          <t>STRENGTHS</t>
        </is>
      </c>
      <c r="C5" s="3" t="inlineStr">
        <is>
          <t>WEAKNESSES</t>
        </is>
      </c>
    </row>
    <row r="6" ht="24" customHeight="1">
      <c r="A6" s="11" t="n"/>
      <c r="B6" s="5" t="inlineStr">
        <is>
          <t>1. Well-known brands such as Imperial Leather and Joy</t>
        </is>
      </c>
      <c r="C6" s="5" t="inlineStr">
        <is>
          <t>1. Waiting for the UK owner's approval can slow work</t>
        </is>
      </c>
    </row>
    <row r="7" ht="24" customHeight="1">
      <c r="A7" s="11" t="n"/>
      <c r="B7" s="5" t="inlineStr">
        <is>
          <t>2. More than 100 years in Nigeria; trusted by buyers</t>
        </is>
      </c>
      <c r="C7" s="5" t="inlineStr">
        <is>
          <t>2. Too many management levels can cause delays</t>
        </is>
      </c>
    </row>
    <row r="8" ht="24" customHeight="1">
      <c r="A8" s="11" t="n"/>
      <c r="B8" s="5" t="inlineStr">
        <is>
          <t>3. Wide distribution network across Nigeria</t>
        </is>
      </c>
      <c r="C8" s="5" t="inlineStr">
        <is>
          <t>3. Brands may fight over the same marketing money</t>
        </is>
      </c>
    </row>
    <row r="9" ht="24" customHeight="1">
      <c r="A9" s="11" t="n"/>
      <c r="B9" s="5" t="inlineStr">
        <is>
          <t>4. Each business focuses on its own customers</t>
        </is>
      </c>
      <c r="C9" s="5" t="inlineStr">
        <is>
          <t>4. Naira problems force hard decisions on imports</t>
        </is>
      </c>
    </row>
    <row r="10" ht="24" customHeight="1">
      <c r="A10" s="11" t="n"/>
      <c r="B10" s="5" t="inlineStr">
        <is>
          <t>5. One manager per brand; shared teams save money</t>
        </is>
      </c>
      <c r="C10" s="5" t="inlineStr">
        <is>
          <t>5. Prices often higher than local low-cost brands</t>
        </is>
      </c>
    </row>
    <row r="11" ht="24" customHeight="1">
      <c r="A11" s="11" t="n"/>
      <c r="B11" s="5" t="inlineStr">
        <is>
          <t>6. Support from the UK owner (PZ Cussons)</t>
        </is>
      </c>
      <c r="C11" s="5" t="n"/>
    </row>
    <row r="12" ht="24" customHeight="1">
      <c r="A12" s="15" t="inlineStr">
        <is>
          <t>EXTERNAL</t>
        </is>
      </c>
      <c r="B12" s="3" t="inlineStr">
        <is>
          <t>OPPORTUNITIES</t>
        </is>
      </c>
      <c r="C12" s="3" t="inlineStr">
        <is>
          <t>THREATS</t>
        </is>
      </c>
    </row>
    <row r="13" ht="24" customHeight="1">
      <c r="A13" s="11" t="n"/>
      <c r="B13" s="5" t="inlineStr">
        <is>
          <t>1. Large, young and growing population</t>
        </is>
      </c>
      <c r="C13" s="5" t="inlineStr">
        <is>
          <t>1. Naira devaluation and foreign-exchange shortages</t>
        </is>
      </c>
    </row>
    <row r="14" ht="24" customHeight="1">
      <c r="A14" s="11" t="n"/>
      <c r="B14" s="5" t="inlineStr">
        <is>
          <t>2. Social media, e-commerce and modern retail</t>
        </is>
      </c>
      <c r="C14" s="5" t="inlineStr">
        <is>
          <t>2. High inflation reduces what consumers can spend</t>
        </is>
      </c>
    </row>
    <row r="15" ht="24" customHeight="1">
      <c r="A15" s="11" t="n"/>
      <c r="B15" s="5" t="inlineStr">
        <is>
          <t>3. Smaller, affordable packs for shoppers on a budget</t>
        </is>
      </c>
      <c r="C15" s="5" t="inlineStr">
        <is>
          <t>3. Strong competition and cheap imports</t>
        </is>
      </c>
    </row>
    <row r="16" ht="24" customHeight="1">
      <c r="A16" s="11" t="n"/>
      <c r="B16" s="5" t="inlineStr">
        <is>
          <t>4. Customers left by Unilever and P&amp;G since 2023</t>
        </is>
      </c>
      <c r="C16" s="5" t="inlineStr">
        <is>
          <t>4. Fake (counterfeit) products</t>
        </is>
      </c>
    </row>
    <row r="17" ht="24" customHeight="1">
      <c r="A17" s="11" t="n"/>
      <c r="B17" s="5" t="inlineStr">
        <is>
          <t>5. Exports to other African countries under AfCFTA</t>
        </is>
      </c>
      <c r="C17" s="5" t="inlineStr">
        <is>
          <t>5. High energy and transport costs</t>
        </is>
      </c>
    </row>
    <row r="18" ht="24" customHeight="1">
      <c r="A18" s="11" t="n"/>
      <c r="B18" s="5" t="inlineStr">
        <is>
          <t>6. Buying raw materials locally to cut dollar costs</t>
        </is>
      </c>
      <c r="C18" s="5" t="inlineStr">
        <is>
          <t>6. Policy changes and insecurity</t>
        </is>
      </c>
    </row>
    <row r="20" ht="24" customHeight="1">
      <c r="A20" s="3" t="inlineStr">
        <is>
          <t>SWOT count</t>
        </is>
      </c>
      <c r="B20" s="13" t="n"/>
      <c r="C20" s="8" t="inlineStr">
        <is>
          <t>Number of points (COUNTA)</t>
        </is>
      </c>
    </row>
    <row r="21">
      <c r="A21" s="4" t="inlineStr">
        <is>
          <t>Strengths</t>
        </is>
      </c>
      <c r="B21" s="11" t="n"/>
      <c r="C21" s="9">
        <f>COUNTA(B6:B11)</f>
        <v>6</v>
      </c>
    </row>
    <row r="22">
      <c r="A22" s="4" t="inlineStr">
        <is>
          <t>Weaknesses</t>
        </is>
      </c>
      <c r="B22" s="11" t="n"/>
      <c r="C22" s="9">
        <f>COUNTA(C6:C11)</f>
        <v>5</v>
      </c>
    </row>
    <row r="23">
      <c r="A23" s="4" t="inlineStr">
        <is>
          <t>Opportunities</t>
        </is>
      </c>
      <c r="B23" s="11" t="n"/>
      <c r="C23" s="9">
        <f>COUNTA(B13:B18)</f>
        <v>6</v>
      </c>
    </row>
    <row r="24">
      <c r="A24" s="4" t="inlineStr">
        <is>
          <t>Threats</t>
        </is>
      </c>
      <c r="B24" s="11" t="n"/>
      <c r="C24" s="9">
        <f>COUNTA(C13:C18)</f>
        <v>6</v>
      </c>
    </row>
    <row r="25">
      <c r="A25" s="4" t="inlineStr">
        <is>
          <t>Total</t>
        </is>
      </c>
      <c r="B25" s="11" t="n"/>
      <c r="C25" s="10">
        <f>SUM(C21:C24)</f>
        <v>23</v>
      </c>
    </row>
  </sheetData>
  <mergeCells count="10">
    <mergeCell ref="A20:B20"/>
    <mergeCell ref="A21:B21"/>
    <mergeCell ref="A22:B22"/>
    <mergeCell ref="A24:B24"/>
    <mergeCell ref="A1:C1"/>
    <mergeCell ref="A12:A18"/>
    <mergeCell ref="A25:B25"/>
    <mergeCell ref="A23:B23"/>
    <mergeCell ref="A2:C2"/>
    <mergeCell ref="A5:A11"/>
  </mergeCells>
  <printOptions horizontalCentered="1"/>
  <pageMargins left="0.7" right="0.7" top="0.75" bottom="0.75" header="0.3" footer="0.3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66" customWidth="1" min="2" max="2"/>
    <col width="12" customWidth="1" min="3" max="3"/>
    <col width="12" customWidth="1" min="4" max="4"/>
    <col width="16" customWidth="1" min="5" max="5"/>
  </cols>
  <sheetData>
    <row r="1" ht="21" customHeight="1">
      <c r="A1" s="1" t="inlineStr">
        <is>
          <t>SWOT SCORING: IFE AND EFE MATRICES</t>
        </is>
      </c>
    </row>
    <row r="2" ht="44" customHeight="1">
      <c r="A2" s="2" t="inlineStr">
        <is>
          <t>Weight = importance (each matrix adds up to 1.00). IFE rating: strengths 3-4, weaknesses 1-2. EFE rating: how well PZ responds, 1 (poor) to 4 (superior). Weighted score = Weight × Rating; 2.50 is average.</t>
        </is>
      </c>
    </row>
    <row r="4" ht="18" customHeight="1">
      <c r="A4" s="6" t="inlineStr">
        <is>
          <t>Internal Factor Evaluation (IFE): strengths and weaknesses</t>
        </is>
      </c>
    </row>
    <row r="5" ht="24" customHeight="1">
      <c r="A5" s="3" t="inlineStr">
        <is>
          <t>Type</t>
        </is>
      </c>
      <c r="B5" s="3" t="inlineStr">
        <is>
          <t>Key factor</t>
        </is>
      </c>
      <c r="C5" s="8" t="inlineStr">
        <is>
          <t>Weight</t>
        </is>
      </c>
      <c r="D5" s="8" t="inlineStr">
        <is>
          <t>Rating</t>
        </is>
      </c>
      <c r="E5" s="8" t="inlineStr">
        <is>
          <t>Weighted score</t>
        </is>
      </c>
    </row>
    <row r="6" ht="20" customHeight="1">
      <c r="A6" s="4" t="inlineStr">
        <is>
          <t>Strength</t>
        </is>
      </c>
      <c r="B6" s="5" t="inlineStr">
        <is>
          <t>Well-known brands such as Imperial Leather and Joy</t>
        </is>
      </c>
      <c r="C6" s="16" t="n">
        <v>0.15</v>
      </c>
      <c r="D6" s="9" t="n">
        <v>4</v>
      </c>
      <c r="E6" s="17">
        <f>C6*D6</f>
        <v>0.6</v>
      </c>
    </row>
    <row r="7" ht="20" customHeight="1">
      <c r="A7" s="4" t="inlineStr">
        <is>
          <t>Strength</t>
        </is>
      </c>
      <c r="B7" s="5" t="inlineStr">
        <is>
          <t>More than 100 years in Nigeria; trusted by buyers</t>
        </is>
      </c>
      <c r="C7" s="16" t="n">
        <v>0.1</v>
      </c>
      <c r="D7" s="9" t="n">
        <v>4</v>
      </c>
      <c r="E7" s="17">
        <f>C7*D7</f>
        <v>0.4</v>
      </c>
    </row>
    <row r="8" ht="20" customHeight="1">
      <c r="A8" s="4" t="inlineStr">
        <is>
          <t>Strength</t>
        </is>
      </c>
      <c r="B8" s="5" t="inlineStr">
        <is>
          <t>Wide distribution network across Nigeria</t>
        </is>
      </c>
      <c r="C8" s="16" t="n">
        <v>0.12</v>
      </c>
      <c r="D8" s="9" t="n">
        <v>3</v>
      </c>
      <c r="E8" s="17">
        <f>C8*D8</f>
        <v>0.36</v>
      </c>
    </row>
    <row r="9" ht="20" customHeight="1">
      <c r="A9" s="4" t="inlineStr">
        <is>
          <t>Strength</t>
        </is>
      </c>
      <c r="B9" s="5" t="inlineStr">
        <is>
          <t>Each business focuses on its own customers</t>
        </is>
      </c>
      <c r="C9" s="16" t="n">
        <v>0.08</v>
      </c>
      <c r="D9" s="9" t="n">
        <v>3</v>
      </c>
      <c r="E9" s="17">
        <f>C9*D9</f>
        <v>0.24</v>
      </c>
    </row>
    <row r="10" ht="20" customHeight="1">
      <c r="A10" s="4" t="inlineStr">
        <is>
          <t>Strength</t>
        </is>
      </c>
      <c r="B10" s="5" t="inlineStr">
        <is>
          <t>One manager per brand; shared teams save money</t>
        </is>
      </c>
      <c r="C10" s="16" t="n">
        <v>0.07000000000000001</v>
      </c>
      <c r="D10" s="9" t="n">
        <v>3</v>
      </c>
      <c r="E10" s="17">
        <f>C10*D10</f>
        <v>0.21</v>
      </c>
    </row>
    <row r="11" ht="20" customHeight="1">
      <c r="A11" s="4" t="inlineStr">
        <is>
          <t>Strength</t>
        </is>
      </c>
      <c r="B11" s="5" t="inlineStr">
        <is>
          <t>Support from the UK owner (PZ Cussons)</t>
        </is>
      </c>
      <c r="C11" s="16" t="n">
        <v>0.08</v>
      </c>
      <c r="D11" s="9" t="n">
        <v>3</v>
      </c>
      <c r="E11" s="17">
        <f>C11*D11</f>
        <v>0.24</v>
      </c>
    </row>
    <row r="12" ht="20" customHeight="1">
      <c r="A12" s="4" t="inlineStr">
        <is>
          <t>Weakness</t>
        </is>
      </c>
      <c r="B12" s="5" t="inlineStr">
        <is>
          <t>Waiting for the UK owner's approval can slow work</t>
        </is>
      </c>
      <c r="C12" s="16" t="n">
        <v>0.08</v>
      </c>
      <c r="D12" s="9" t="n">
        <v>2</v>
      </c>
      <c r="E12" s="17">
        <f>C12*D12</f>
        <v>0.16</v>
      </c>
    </row>
    <row r="13" ht="20" customHeight="1">
      <c r="A13" s="4" t="inlineStr">
        <is>
          <t>Weakness</t>
        </is>
      </c>
      <c r="B13" s="5" t="inlineStr">
        <is>
          <t>Too many management levels can cause delays</t>
        </is>
      </c>
      <c r="C13" s="16" t="n">
        <v>0.07000000000000001</v>
      </c>
      <c r="D13" s="9" t="n">
        <v>2</v>
      </c>
      <c r="E13" s="17">
        <f>C13*D13</f>
        <v>0.14</v>
      </c>
    </row>
    <row r="14" ht="20" customHeight="1">
      <c r="A14" s="4" t="inlineStr">
        <is>
          <t>Weakness</t>
        </is>
      </c>
      <c r="B14" s="5" t="inlineStr">
        <is>
          <t>Brands may fight over the same marketing money</t>
        </is>
      </c>
      <c r="C14" s="16" t="n">
        <v>0.05</v>
      </c>
      <c r="D14" s="9" t="n">
        <v>2</v>
      </c>
      <c r="E14" s="17">
        <f>C14*D14</f>
        <v>0.1</v>
      </c>
    </row>
    <row r="15" ht="20" customHeight="1">
      <c r="A15" s="4" t="inlineStr">
        <is>
          <t>Weakness</t>
        </is>
      </c>
      <c r="B15" s="5" t="inlineStr">
        <is>
          <t>Naira problems force hard decisions on imports</t>
        </is>
      </c>
      <c r="C15" s="16" t="n">
        <v>0.12</v>
      </c>
      <c r="D15" s="9" t="n">
        <v>1</v>
      </c>
      <c r="E15" s="17">
        <f>C15*D15</f>
        <v>0.12</v>
      </c>
    </row>
    <row r="16" ht="20" customHeight="1">
      <c r="A16" s="4" t="inlineStr">
        <is>
          <t>Weakness</t>
        </is>
      </c>
      <c r="B16" s="5" t="inlineStr">
        <is>
          <t>Prices often higher than local low-cost brands</t>
        </is>
      </c>
      <c r="C16" s="16" t="n">
        <v>0.08</v>
      </c>
      <c r="D16" s="9" t="n">
        <v>2</v>
      </c>
      <c r="E16" s="17">
        <f>C16*D16</f>
        <v>0.16</v>
      </c>
    </row>
    <row r="17">
      <c r="A17" s="4" t="inlineStr">
        <is>
          <t>Total</t>
        </is>
      </c>
      <c r="B17" s="11" t="n"/>
      <c r="C17" s="17">
        <f>SUM(C6:C16)</f>
        <v>1</v>
      </c>
      <c r="D17" s="5" t="n"/>
      <c r="E17" s="17">
        <f>SUM(E6:E16)</f>
        <v>2.73</v>
      </c>
    </row>
    <row r="18">
      <c r="A18" s="4" t="inlineStr">
        <is>
          <t>Weights check</t>
        </is>
      </c>
      <c r="B18" s="11" t="n"/>
      <c r="C18" s="5" t="str">
        <f>IF(ROUND(C17,2)=1,"OK: weights add up to 1.00","Check: weights must add up to 1.00")</f>
        <v>OK: weights add up to 1.00</v>
      </c>
      <c r="D18" s="11" t="n"/>
      <c r="E18" s="11" t="n"/>
    </row>
    <row r="19" ht="30" customHeight="1">
      <c r="A19" s="4" t="inlineStr">
        <is>
          <t>Result</t>
        </is>
      </c>
      <c r="B19" s="11" t="n"/>
      <c r="C19" s="4" t="str">
        <f>IF(E17&gt;=2.5,"Above average: strengths outweigh weaknesses","Below average: weaknesses outweigh strengths")</f>
        <v>Above average: strengths outweigh weaknesses</v>
      </c>
      <c r="D19" s="11" t="n"/>
      <c r="E19" s="11" t="n"/>
    </row>
    <row r="21" ht="18" customHeight="1">
      <c r="A21" s="6" t="inlineStr">
        <is>
          <t>External Factor Evaluation (EFE): opportunities and threats</t>
        </is>
      </c>
    </row>
    <row r="22" ht="24" customHeight="1">
      <c r="A22" s="3" t="inlineStr">
        <is>
          <t>Type</t>
        </is>
      </c>
      <c r="B22" s="3" t="inlineStr">
        <is>
          <t>Key factor</t>
        </is>
      </c>
      <c r="C22" s="8" t="inlineStr">
        <is>
          <t>Weight</t>
        </is>
      </c>
      <c r="D22" s="8" t="inlineStr">
        <is>
          <t>Rating</t>
        </is>
      </c>
      <c r="E22" s="8" t="inlineStr">
        <is>
          <t>Weighted score</t>
        </is>
      </c>
    </row>
    <row r="23" ht="20" customHeight="1">
      <c r="A23" s="4" t="inlineStr">
        <is>
          <t>Opportunity</t>
        </is>
      </c>
      <c r="B23" s="5" t="inlineStr">
        <is>
          <t>Large, young and growing population</t>
        </is>
      </c>
      <c r="C23" s="16" t="n">
        <v>0.12</v>
      </c>
      <c r="D23" s="9" t="n">
        <v>3</v>
      </c>
      <c r="E23" s="17">
        <f>C23*D23</f>
        <v>0.36</v>
      </c>
    </row>
    <row r="24" ht="20" customHeight="1">
      <c r="A24" s="4" t="inlineStr">
        <is>
          <t>Opportunity</t>
        </is>
      </c>
      <c r="B24" s="5" t="inlineStr">
        <is>
          <t>Social media, e-commerce and modern retail</t>
        </is>
      </c>
      <c r="C24" s="16" t="n">
        <v>0.08</v>
      </c>
      <c r="D24" s="9" t="n">
        <v>2</v>
      </c>
      <c r="E24" s="17">
        <f>C24*D24</f>
        <v>0.16</v>
      </c>
    </row>
    <row r="25" ht="20" customHeight="1">
      <c r="A25" s="4" t="inlineStr">
        <is>
          <t>Opportunity</t>
        </is>
      </c>
      <c r="B25" s="5" t="inlineStr">
        <is>
          <t>Smaller, affordable packs for shoppers on a budget</t>
        </is>
      </c>
      <c r="C25" s="16" t="n">
        <v>0.1</v>
      </c>
      <c r="D25" s="9" t="n">
        <v>3</v>
      </c>
      <c r="E25" s="17">
        <f>C25*D25</f>
        <v>0.3</v>
      </c>
    </row>
    <row r="26" ht="20" customHeight="1">
      <c r="A26" s="4" t="inlineStr">
        <is>
          <t>Opportunity</t>
        </is>
      </c>
      <c r="B26" s="5" t="inlineStr">
        <is>
          <t>Customers left by Unilever and P&amp;G since 2023</t>
        </is>
      </c>
      <c r="C26" s="16" t="n">
        <v>0.1</v>
      </c>
      <c r="D26" s="9" t="n">
        <v>3</v>
      </c>
      <c r="E26" s="17">
        <f>C26*D26</f>
        <v>0.3</v>
      </c>
    </row>
    <row r="27" ht="20" customHeight="1">
      <c r="A27" s="4" t="inlineStr">
        <is>
          <t>Opportunity</t>
        </is>
      </c>
      <c r="B27" s="5" t="inlineStr">
        <is>
          <t>Exports to other African countries under AfCFTA</t>
        </is>
      </c>
      <c r="C27" s="16" t="n">
        <v>0.04</v>
      </c>
      <c r="D27" s="9" t="n">
        <v>2</v>
      </c>
      <c r="E27" s="17">
        <f>C27*D27</f>
        <v>0.08</v>
      </c>
    </row>
    <row r="28" ht="20" customHeight="1">
      <c r="A28" s="4" t="inlineStr">
        <is>
          <t>Opportunity</t>
        </is>
      </c>
      <c r="B28" s="5" t="inlineStr">
        <is>
          <t>Buying raw materials locally to cut dollar costs</t>
        </is>
      </c>
      <c r="C28" s="16" t="n">
        <v>0.06</v>
      </c>
      <c r="D28" s="9" t="n">
        <v>2</v>
      </c>
      <c r="E28" s="17">
        <f>C28*D28</f>
        <v>0.12</v>
      </c>
    </row>
    <row r="29" ht="20" customHeight="1">
      <c r="A29" s="4" t="inlineStr">
        <is>
          <t>Threat</t>
        </is>
      </c>
      <c r="B29" s="5" t="inlineStr">
        <is>
          <t>Naira devaluation and foreign-exchange shortages</t>
        </is>
      </c>
      <c r="C29" s="16" t="n">
        <v>0.14</v>
      </c>
      <c r="D29" s="9" t="n">
        <v>2</v>
      </c>
      <c r="E29" s="17">
        <f>C29*D29</f>
        <v>0.28</v>
      </c>
    </row>
    <row r="30" ht="20" customHeight="1">
      <c r="A30" s="4" t="inlineStr">
        <is>
          <t>Threat</t>
        </is>
      </c>
      <c r="B30" s="5" t="inlineStr">
        <is>
          <t>High inflation reduces what consumers can spend</t>
        </is>
      </c>
      <c r="C30" s="16" t="n">
        <v>0.12</v>
      </c>
      <c r="D30" s="9" t="n">
        <v>2</v>
      </c>
      <c r="E30" s="17">
        <f>C30*D30</f>
        <v>0.24</v>
      </c>
    </row>
    <row r="31" ht="20" customHeight="1">
      <c r="A31" s="4" t="inlineStr">
        <is>
          <t>Threat</t>
        </is>
      </c>
      <c r="B31" s="5" t="inlineStr">
        <is>
          <t>Strong competition and cheap imports</t>
        </is>
      </c>
      <c r="C31" s="16" t="n">
        <v>0.09</v>
      </c>
      <c r="D31" s="9" t="n">
        <v>3</v>
      </c>
      <c r="E31" s="17">
        <f>C31*D31</f>
        <v>0.27</v>
      </c>
    </row>
    <row r="32" ht="20" customHeight="1">
      <c r="A32" s="4" t="inlineStr">
        <is>
          <t>Threat</t>
        </is>
      </c>
      <c r="B32" s="5" t="inlineStr">
        <is>
          <t>Fake (counterfeit) products</t>
        </is>
      </c>
      <c r="C32" s="16" t="n">
        <v>0.05</v>
      </c>
      <c r="D32" s="9" t="n">
        <v>2</v>
      </c>
      <c r="E32" s="17">
        <f>C32*D32</f>
        <v>0.1</v>
      </c>
    </row>
    <row r="33" ht="20" customHeight="1">
      <c r="A33" s="4" t="inlineStr">
        <is>
          <t>Threat</t>
        </is>
      </c>
      <c r="B33" s="5" t="inlineStr">
        <is>
          <t>High energy and transport costs</t>
        </is>
      </c>
      <c r="C33" s="16" t="n">
        <v>0.06</v>
      </c>
      <c r="D33" s="9" t="n">
        <v>2</v>
      </c>
      <c r="E33" s="17">
        <f>C33*D33</f>
        <v>0.12</v>
      </c>
    </row>
    <row r="34" ht="20" customHeight="1">
      <c r="A34" s="4" t="inlineStr">
        <is>
          <t>Threat</t>
        </is>
      </c>
      <c r="B34" s="5" t="inlineStr">
        <is>
          <t>Policy changes and insecurity</t>
        </is>
      </c>
      <c r="C34" s="16" t="n">
        <v>0.04</v>
      </c>
      <c r="D34" s="9" t="n">
        <v>2</v>
      </c>
      <c r="E34" s="17">
        <f>C34*D34</f>
        <v>0.08</v>
      </c>
    </row>
    <row r="35">
      <c r="A35" s="4" t="inlineStr">
        <is>
          <t>Total</t>
        </is>
      </c>
      <c r="B35" s="11" t="n"/>
      <c r="C35" s="17">
        <f>SUM(C23:C34)</f>
        <v>1</v>
      </c>
      <c r="D35" s="5" t="n"/>
      <c r="E35" s="17">
        <f>SUM(E23:E34)</f>
        <v>2.41</v>
      </c>
    </row>
    <row r="36">
      <c r="A36" s="4" t="inlineStr">
        <is>
          <t>Weights check</t>
        </is>
      </c>
      <c r="B36" s="11" t="n"/>
      <c r="C36" s="5" t="str">
        <f>IF(ROUND(C35,2)=1,"OK: weights add up to 1.00","Check: weights must add up to 1.00")</f>
        <v>OK: weights add up to 1.00</v>
      </c>
      <c r="D36" s="11" t="n"/>
      <c r="E36" s="11" t="n"/>
    </row>
    <row r="37" ht="30" customHeight="1">
      <c r="A37" s="4" t="inlineStr">
        <is>
          <t>Result</t>
        </is>
      </c>
      <c r="B37" s="11" t="n"/>
      <c r="C37" s="4" t="str">
        <f>IF(E35&gt;=2.5,"Above average: PZ responds well to opportunities and threats","Below average: PZ must respond better to opportunities and threats")</f>
        <v>Below average: PZ must respond better to opportunities and threats</v>
      </c>
      <c r="D37" s="11" t="n"/>
      <c r="E37" s="11" t="n"/>
    </row>
    <row r="39" ht="18" customHeight="1">
      <c r="A39" s="6" t="inlineStr">
        <is>
          <t>Strategic position</t>
        </is>
      </c>
    </row>
    <row r="40" ht="24" customHeight="1">
      <c r="A40" s="3" t="inlineStr">
        <is>
          <t>Measure</t>
        </is>
      </c>
      <c r="B40" s="13" t="n"/>
      <c r="C40" s="8" t="inlineStr">
        <is>
          <t>Result</t>
        </is>
      </c>
      <c r="D40" s="13" t="n"/>
      <c r="E40" s="8" t="inlineStr">
        <is>
          <t>Excel functions</t>
        </is>
      </c>
    </row>
    <row r="41" ht="21" customHeight="1">
      <c r="A41" s="4" t="inlineStr">
        <is>
          <t>Strengths score</t>
        </is>
      </c>
      <c r="B41" s="11" t="n"/>
      <c r="C41" s="17">
        <f>SUMIF($A$6:$A$16,"Strength",$E$6:$E$16)</f>
        <v>2.05</v>
      </c>
      <c r="D41" s="11" t="n"/>
      <c r="E41" s="9" t="inlineStr">
        <is>
          <t>SUMIF</t>
        </is>
      </c>
    </row>
    <row r="42" ht="21" customHeight="1">
      <c r="A42" s="4" t="inlineStr">
        <is>
          <t>Weaknesses score</t>
        </is>
      </c>
      <c r="B42" s="11" t="n"/>
      <c r="C42" s="17">
        <f>SUMIF($A$6:$A$16,"Weakness",$E$6:$E$16)</f>
        <v>0.68</v>
      </c>
      <c r="D42" s="11" t="n"/>
      <c r="E42" s="9" t="inlineStr">
        <is>
          <t>SUMIF</t>
        </is>
      </c>
    </row>
    <row r="43" ht="21" customHeight="1">
      <c r="A43" s="4" t="inlineStr">
        <is>
          <t>Opportunities score</t>
        </is>
      </c>
      <c r="B43" s="11" t="n"/>
      <c r="C43" s="17">
        <f>SUMIF($A$23:$A$34,"Opportunity",$E$23:$E$34)</f>
        <v>1.32</v>
      </c>
      <c r="D43" s="11" t="n"/>
      <c r="E43" s="9" t="inlineStr">
        <is>
          <t>SUMIF</t>
        </is>
      </c>
    </row>
    <row r="44" ht="21" customHeight="1">
      <c r="A44" s="4" t="inlineStr">
        <is>
          <t>Threats score</t>
        </is>
      </c>
      <c r="B44" s="11" t="n"/>
      <c r="C44" s="17">
        <f>SUMIF($A$23:$A$34,"Threat",$E$23:$E$34)</f>
        <v>1.09</v>
      </c>
      <c r="D44" s="11" t="n"/>
      <c r="E44" s="9" t="inlineStr">
        <is>
          <t>SUMIF</t>
        </is>
      </c>
    </row>
    <row r="45" ht="21" customHeight="1">
      <c r="A45" s="4" t="inlineStr">
        <is>
          <t>IFE total (internal)</t>
        </is>
      </c>
      <c r="B45" s="11" t="n"/>
      <c r="C45" s="17">
        <f>E17</f>
        <v>2.73</v>
      </c>
      <c r="D45" s="11" t="n"/>
      <c r="E45" s="9" t="inlineStr">
        <is>
          <t>SUM</t>
        </is>
      </c>
    </row>
    <row r="46" ht="21" customHeight="1">
      <c r="A46" s="4" t="inlineStr">
        <is>
          <t>EFE total (external)</t>
        </is>
      </c>
      <c r="B46" s="11" t="n"/>
      <c r="C46" s="17">
        <f>E35</f>
        <v>2.41</v>
      </c>
      <c r="D46" s="11" t="n"/>
      <c r="E46" s="9" t="inlineStr">
        <is>
          <t>SUM</t>
        </is>
      </c>
    </row>
    <row r="47" ht="21" customHeight="1">
      <c r="A47" s="4" t="inlineStr">
        <is>
          <t>IE matrix cell</t>
        </is>
      </c>
      <c r="B47" s="11" t="n"/>
      <c r="C47" s="10" t="str">
        <f>CHOOSE((IF(E35&gt;=3,1,IF(E35&gt;=2,2,3))-1)*3+IF(E17&gt;=3,1,IF(E17&gt;=2,2,3)),"I","II","III","IV","V","VI","VII","VIII","IX")</f>
        <v>V</v>
      </c>
      <c r="D47" s="11" t="n"/>
      <c r="E47" s="9" t="inlineStr">
        <is>
          <t>IF, CHOOSE</t>
        </is>
      </c>
    </row>
    <row r="48" ht="21" customHeight="1">
      <c r="A48" s="4" t="inlineStr">
        <is>
          <t>Strategy</t>
        </is>
      </c>
      <c r="B48" s="11" t="n"/>
      <c r="C48" s="10" t="str">
        <f>CHOOSE((IF(E35&gt;=3,1,IF(E35&gt;=2,2,3))-1)*3+IF(E17&gt;=3,1,IF(E17&gt;=2,2,3)),"Grow and build","Grow and build","Hold and maintain","Grow and build","Hold and maintain","Harvest or divest","Hold and maintain","Harvest or divest","Harvest or divest")</f>
        <v>Hold and maintain</v>
      </c>
      <c r="D48" s="11" t="n"/>
      <c r="E48" s="9" t="inlineStr">
        <is>
          <t>IF, CHOOSE</t>
        </is>
      </c>
    </row>
    <row r="49" ht="30" customHeight="1">
      <c r="A49" s="4" t="inlineStr">
        <is>
          <t>Suggested strategies</t>
        </is>
      </c>
      <c r="B49" s="11" t="n"/>
      <c r="C49" s="10" t="str">
        <f>IF(C48="Hold and maintain","Market penetration and product development",IF(C48="Grow and build","Market penetration, market development and product development","Cut costs or sell weak businesses"))</f>
        <v>Market penetration and product development</v>
      </c>
      <c r="D49" s="11" t="n"/>
      <c r="E49" s="9" t="inlineStr">
        <is>
          <t>IF</t>
        </is>
      </c>
    </row>
    <row r="51" ht="18" customHeight="1">
      <c r="A51" s="6" t="inlineStr">
        <is>
          <t>Chart: weighted SWOT scores</t>
        </is>
      </c>
    </row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36">
    <mergeCell ref="A39:E39"/>
    <mergeCell ref="A48:B48"/>
    <mergeCell ref="A49:B49"/>
    <mergeCell ref="C42:D42"/>
    <mergeCell ref="A45:B45"/>
    <mergeCell ref="A51:E51"/>
    <mergeCell ref="A36:B36"/>
    <mergeCell ref="A1:E1"/>
    <mergeCell ref="C45:D45"/>
    <mergeCell ref="C36:E36"/>
    <mergeCell ref="C47:D47"/>
    <mergeCell ref="A41:B41"/>
    <mergeCell ref="C41:D41"/>
    <mergeCell ref="A37:B37"/>
    <mergeCell ref="A46:B46"/>
    <mergeCell ref="C44:D44"/>
    <mergeCell ref="C40:D40"/>
    <mergeCell ref="A18:B18"/>
    <mergeCell ref="A21:E21"/>
    <mergeCell ref="C43:D43"/>
    <mergeCell ref="C46:D46"/>
    <mergeCell ref="C19:E19"/>
    <mergeCell ref="A2:E2"/>
    <mergeCell ref="C37:E37"/>
    <mergeCell ref="A47:B47"/>
    <mergeCell ref="A42:B42"/>
    <mergeCell ref="C18:E18"/>
    <mergeCell ref="A17:B17"/>
    <mergeCell ref="C48:D48"/>
    <mergeCell ref="A35:B35"/>
    <mergeCell ref="A4:E4"/>
    <mergeCell ref="A43:B43"/>
    <mergeCell ref="A19:B19"/>
    <mergeCell ref="A44:B44"/>
    <mergeCell ref="A40:B40"/>
    <mergeCell ref="C49:D49"/>
  </mergeCells>
  <printOptions horizontalCentered="1"/>
  <pageMargins left="0.7" right="0.7" top="0.75" bottom="0.75" header="0.3" footer="0.3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6" customWidth="1" min="3" max="3"/>
    <col width="62" customWidth="1" min="4" max="4"/>
  </cols>
  <sheetData>
    <row r="1" ht="21" customHeight="1">
      <c r="A1" s="1" t="inlineStr">
        <is>
          <t>INDUSTRY ANALYSIS: NIGERIAN FMCG AND CONSUMER ELECTRICALS</t>
        </is>
      </c>
    </row>
    <row r="2" ht="32" customHeight="1">
      <c r="A2" s="2" t="inlineStr">
        <is>
          <t>Industry overview, Porter's Five Forces (each force rated 1 = weak to 5 = strong) and PZ's main competitors</t>
        </is>
      </c>
    </row>
    <row r="4" ht="18" customHeight="1">
      <c r="A4" s="6" t="inlineStr">
        <is>
          <t>Industry overview</t>
        </is>
      </c>
    </row>
    <row r="5" ht="30" customHeight="1">
      <c r="A5" s="4" t="inlineStr">
        <is>
          <t>Industry</t>
        </is>
      </c>
      <c r="B5" s="5" t="inlineStr">
        <is>
          <t>Fast-moving consumer goods (FMCG): personal care (soaps, bathing) and home care (dishwashing), plus consumer electricals</t>
        </is>
      </c>
      <c r="C5" s="11" t="n"/>
      <c r="D5" s="11" t="n"/>
    </row>
    <row r="6" ht="30" customHeight="1">
      <c r="A6" s="4" t="inlineStr">
        <is>
          <t>Market</t>
        </is>
      </c>
      <c r="B6" s="5" t="inlineStr">
        <is>
          <t>Over 200 million people, most of them young: one of Africa's largest consumer markets</t>
        </is>
      </c>
      <c r="C6" s="11" t="n"/>
      <c r="D6" s="11" t="n"/>
    </row>
    <row r="7" ht="30" customHeight="1">
      <c r="A7" s="4" t="inlineStr">
        <is>
          <t>Customers</t>
        </is>
      </c>
      <c r="B7" s="5" t="inlineStr">
        <is>
          <t>Households, reached through distributors, wholesalers, open markets, supermarkets and online stores</t>
        </is>
      </c>
      <c r="C7" s="11" t="n"/>
      <c r="D7" s="11" t="n"/>
    </row>
    <row r="8" ht="30" customHeight="1">
      <c r="A8" s="4" t="inlineStr">
        <is>
          <t>Key trends</t>
        </is>
      </c>
      <c r="B8" s="5" t="inlineStr">
        <is>
          <t>Prices rising with inflation; shoppers moving to smaller packs and cheaper brands; multinationals cutting local production; more selling online and on social media</t>
        </is>
      </c>
      <c r="C8" s="11" t="n"/>
      <c r="D8" s="11" t="n"/>
    </row>
    <row r="9" ht="30" customHeight="1">
      <c r="A9" s="4" t="inlineStr">
        <is>
          <t>Key success factors</t>
        </is>
      </c>
      <c r="B9" s="5" t="inlineStr">
        <is>
          <t>Strong brands, low costs, wide distribution, local raw materials and affordable pack sizes</t>
        </is>
      </c>
      <c r="C9" s="11" t="n"/>
      <c r="D9" s="11" t="n"/>
    </row>
    <row r="11" ht="18" customHeight="1">
      <c r="A11" s="6" t="inlineStr">
        <is>
          <t>Porter's Five Forces</t>
        </is>
      </c>
    </row>
    <row r="12" ht="24" customHeight="1">
      <c r="A12" s="3" t="inlineStr">
        <is>
          <t>Force</t>
        </is>
      </c>
      <c r="B12" s="8" t="inlineStr">
        <is>
          <t>Strength (1-5)</t>
        </is>
      </c>
      <c r="C12" s="8" t="inlineStr">
        <is>
          <t>Level</t>
        </is>
      </c>
      <c r="D12" s="3" t="inlineStr">
        <is>
          <t>Why</t>
        </is>
      </c>
    </row>
    <row r="13" ht="30" customHeight="1">
      <c r="A13" s="4" t="inlineStr">
        <is>
          <t>Competitive rivalry</t>
        </is>
      </c>
      <c r="B13" s="9" t="n">
        <v>5</v>
      </c>
      <c r="C13" s="10" t="str">
        <f>IF(B13&gt;=4,"High",IF(B13&gt;=3,"Medium","Low"))</f>
        <v>High</v>
      </c>
      <c r="D13" s="5" t="inlineStr">
        <is>
          <t>Many local and foreign brands fight on price, promotions and shelf space</t>
        </is>
      </c>
    </row>
    <row r="14" ht="30" customHeight="1">
      <c r="A14" s="4" t="inlineStr">
        <is>
          <t>Bargaining power of buyers</t>
        </is>
      </c>
      <c r="B14" s="9" t="n">
        <v>4</v>
      </c>
      <c r="C14" s="10" t="str">
        <f>IF(B14&gt;=4,"High",IF(B14&gt;=3,"Medium","Low"))</f>
        <v>High</v>
      </c>
      <c r="D14" s="5" t="inlineStr">
        <is>
          <t>Shoppers are price-sensitive and switch brands easily; big distributors bargain hard</t>
        </is>
      </c>
    </row>
    <row r="15" ht="30" customHeight="1">
      <c r="A15" s="4" t="inlineStr">
        <is>
          <t>Bargaining power of suppliers</t>
        </is>
      </c>
      <c r="B15" s="9" t="n">
        <v>4</v>
      </c>
      <c r="C15" s="10" t="str">
        <f>IF(B15&gt;=4,"High",IF(B15&gt;=3,"Medium","Low"))</f>
        <v>High</v>
      </c>
      <c r="D15" s="5" t="inlineStr">
        <is>
          <t>Key raw materials, packaging and parts are imported and priced in dollars</t>
        </is>
      </c>
    </row>
    <row r="16" ht="30" customHeight="1">
      <c r="A16" s="4" t="inlineStr">
        <is>
          <t>Threat of substitutes</t>
        </is>
      </c>
      <c r="B16" s="9" t="n">
        <v>3</v>
      </c>
      <c r="C16" s="10" t="str">
        <f>IF(B16&gt;=4,"High",IF(B16&gt;=3,"Medium","Low"))</f>
        <v>Medium</v>
      </c>
      <c r="D16" s="5" t="inlineStr">
        <is>
          <t>Cheaper unbranded and local soaps; fans instead of air conditioners</t>
        </is>
      </c>
    </row>
    <row r="17" ht="30" customHeight="1">
      <c r="A17" s="4" t="inlineStr">
        <is>
          <t>Threat of new entrants</t>
        </is>
      </c>
      <c r="B17" s="9" t="n">
        <v>2</v>
      </c>
      <c r="C17" s="10" t="str">
        <f>IF(B17&gt;=4,"High",IF(B17&gt;=3,"Medium","Low"))</f>
        <v>Low</v>
      </c>
      <c r="D17" s="5" t="inlineStr">
        <is>
          <t>Factories, brands and distribution cost a lot, but cheap imports still get in</t>
        </is>
      </c>
    </row>
    <row r="18">
      <c r="A18" s="4" t="inlineStr">
        <is>
          <t>Average strength</t>
        </is>
      </c>
      <c r="B18" s="12">
        <f>AVERAGE(B13:B17)</f>
        <v>3.6</v>
      </c>
      <c r="C18" s="10" t="str">
        <f>IF(B18&gt;=3.5,"High",IF(B18&gt;=2.5,"Medium","Low"))</f>
        <v>High</v>
      </c>
      <c r="D18" s="4" t="str">
        <f>IF(B18&gt;=3.5,"Strong competitive pressure: profits are hard to earn",IF(B18&gt;=2.5,"Moderate competitive pressure","Weak competitive pressure: an attractive industry"))</f>
        <v>Strong competitive pressure: profits are hard to earn</v>
      </c>
    </row>
    <row r="19" ht="21" customHeight="1">
      <c r="A19" s="4" t="inlineStr">
        <is>
          <t>Strongest force</t>
        </is>
      </c>
      <c r="B19" s="5" t="str">
        <f>INDEX($A$13:$A$17,MATCH(MAX($B$13:$B$17),$B$13:$B$17,0))</f>
        <v>Competitive rivalry</v>
      </c>
      <c r="C19" s="11" t="n"/>
      <c r="D19" s="11" t="n"/>
    </row>
    <row r="20" ht="21" customHeight="1">
      <c r="A20" s="4" t="inlineStr">
        <is>
          <t>Weakest force</t>
        </is>
      </c>
      <c r="B20" s="5" t="str">
        <f>INDEX($A$13:$A$17,MATCH(MIN($B$13:$B$17),$B$13:$B$17,0))</f>
        <v>Threat of new entrants</v>
      </c>
      <c r="C20" s="11" t="n"/>
      <c r="D20" s="11" t="n"/>
    </row>
    <row r="21" ht="21" customHeight="1">
      <c r="A21" s="4" t="inlineStr">
        <is>
          <t>Forces rated High</t>
        </is>
      </c>
      <c r="B21" s="5" t="str">
        <f>COUNTIF($C$13:$C$17,"High")&amp;" of "&amp;COUNTA($A$13:$A$17)</f>
        <v>3 of 5</v>
      </c>
      <c r="C21" s="11" t="n"/>
      <c r="D21" s="11" t="n"/>
    </row>
    <row r="23" ht="18" customHeight="1">
      <c r="A23" s="6" t="inlineStr">
        <is>
          <t>Main competitors</t>
        </is>
      </c>
    </row>
    <row r="24" ht="24" customHeight="1">
      <c r="A24" s="3" t="inlineStr">
        <is>
          <t>Competitor</t>
        </is>
      </c>
      <c r="B24" s="3" t="inlineStr">
        <is>
          <t>Key brands</t>
        </is>
      </c>
      <c r="C24" s="3" t="inlineStr">
        <is>
          <t>Competes with PZ in</t>
        </is>
      </c>
      <c r="D24" s="3" t="inlineStr">
        <is>
          <t>Position</t>
        </is>
      </c>
    </row>
    <row r="25" ht="30" customHeight="1">
      <c r="A25" s="4" t="inlineStr">
        <is>
          <t>Unilever Nigeria</t>
        </is>
      </c>
      <c r="B25" s="5" t="inlineStr">
        <is>
          <t>Vaseline, Close-Up, Pepsodent</t>
        </is>
      </c>
      <c r="C25" s="5" t="inlineStr">
        <is>
          <t>Personal care</t>
        </is>
      </c>
      <c r="D25" s="5" t="inlineStr">
        <is>
          <t>Left home care and skin cleansing (soaps) in 2023</t>
        </is>
      </c>
    </row>
    <row r="26" ht="30" customHeight="1">
      <c r="A26" s="4" t="inlineStr">
        <is>
          <t>Procter &amp; Gamble</t>
        </is>
      </c>
      <c r="B26" s="5" t="inlineStr">
        <is>
          <t>Ariel, Pampers, Always</t>
        </is>
      </c>
      <c r="C26" s="5" t="inlineStr">
        <is>
          <t>Home care</t>
        </is>
      </c>
      <c r="D26" s="5" t="inlineStr">
        <is>
          <t>Stopped making products in Nigeria; imports only (announced 2023)</t>
        </is>
      </c>
    </row>
    <row r="27" ht="30" customHeight="1">
      <c r="A27" s="4" t="inlineStr">
        <is>
          <t>Reckitt Nigeria</t>
        </is>
      </c>
      <c r="B27" s="5" t="inlineStr">
        <is>
          <t>Dettol, Harpic, Jik</t>
        </is>
      </c>
      <c r="C27" s="5" t="inlineStr">
        <is>
          <t>Antiseptic soap, home care</t>
        </is>
      </c>
      <c r="D27" s="5" t="inlineStr">
        <is>
          <t>Strong in hygiene and health products</t>
        </is>
      </c>
    </row>
    <row r="28" ht="30" customHeight="1">
      <c r="A28" s="4" t="inlineStr">
        <is>
          <t>Hayat Kimya</t>
        </is>
      </c>
      <c r="B28" s="5" t="inlineStr">
        <is>
          <t>Molfix, Bingo, Familia</t>
        </is>
      </c>
      <c r="C28" s="5" t="inlineStr">
        <is>
          <t>Home care</t>
        </is>
      </c>
      <c r="D28" s="5" t="inlineStr">
        <is>
          <t>Makes products locally; low prices; growing fast</t>
        </is>
      </c>
    </row>
    <row r="29" ht="30" customHeight="1">
      <c r="A29" s="4" t="inlineStr">
        <is>
          <t>Local low-cost brands</t>
        </is>
      </c>
      <c r="B29" s="5" t="inlineStr">
        <is>
          <t>Many local soaps, detergents and dishwashing liquids</t>
        </is>
      </c>
      <c r="C29" s="5" t="inlineStr">
        <is>
          <t>All Family Care brands</t>
        </is>
      </c>
      <c r="D29" s="5" t="inlineStr">
        <is>
          <t>Win on price, especially in open markets</t>
        </is>
      </c>
    </row>
    <row r="30" ht="30" customHeight="1">
      <c r="A30" s="4" t="inlineStr">
        <is>
          <t>LG, Samsung, Hisense, Scanfrost</t>
        </is>
      </c>
      <c r="B30" s="5" t="inlineStr">
        <is>
          <t>Air conditioners, fridges, washing machines</t>
        </is>
      </c>
      <c r="C30" s="5" t="inlineStr">
        <is>
          <t>Electrical</t>
        </is>
      </c>
      <c r="D30" s="5" t="inlineStr">
        <is>
          <t>Strong brands, plus many cheaper imports</t>
        </is>
      </c>
    </row>
    <row r="31">
      <c r="A31" s="4" t="inlineStr">
        <is>
          <t>Number of competitors listed</t>
        </is>
      </c>
      <c r="B31" s="4">
        <f>COUNTA(A25:A30)</f>
        <v>6</v>
      </c>
      <c r="C31" s="11" t="n"/>
      <c r="D31" s="11" t="n"/>
    </row>
    <row r="33" ht="18" customHeight="1">
      <c r="A33" s="6" t="inlineStr">
        <is>
          <t>Chart: strength of the five forces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5">
    <mergeCell ref="A1:D1"/>
    <mergeCell ref="A23:D23"/>
    <mergeCell ref="B5:D5"/>
    <mergeCell ref="B19:D19"/>
    <mergeCell ref="B31:D31"/>
    <mergeCell ref="A4:D4"/>
    <mergeCell ref="B8:D8"/>
    <mergeCell ref="B9:D9"/>
    <mergeCell ref="B21:D21"/>
    <mergeCell ref="A2:D2"/>
    <mergeCell ref="A11:D11"/>
    <mergeCell ref="A33:D33"/>
    <mergeCell ref="B7:D7"/>
    <mergeCell ref="B6:D6"/>
    <mergeCell ref="B20:D20"/>
  </mergeCells>
  <printOptions horizontalCentered="1"/>
  <pageMargins left="0.7" right="0.7" top="0.75" bottom="0.75" header="0.3" footer="0.3"/>
  <pageSetup orientation="portrait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92" customWidth="1" min="2" max="2"/>
  </cols>
  <sheetData>
    <row r="1" ht="21" customHeight="1">
      <c r="A1" s="1" t="inlineStr">
        <is>
          <t>SUMMARY AND RECOMMENDATIONS</t>
        </is>
      </c>
    </row>
    <row r="2" ht="32" customHeight="1">
      <c r="A2" s="2" t="inlineStr">
        <is>
          <t>The key results, linked to the other sheets: they update when any rating or weight changes</t>
        </is>
      </c>
    </row>
    <row r="4" ht="24" customHeight="1">
      <c r="A4" s="3" t="inlineStr">
        <is>
          <t>Measure</t>
        </is>
      </c>
      <c r="B4" s="3" t="inlineStr">
        <is>
          <t>Result</t>
        </is>
      </c>
    </row>
    <row r="5" ht="24" customHeight="1">
      <c r="A5" s="4" t="inlineStr">
        <is>
          <t>PESTLE: most important factor</t>
        </is>
      </c>
      <c r="B5" s="5" t="str">
        <f>PESTLE!C37</f>
        <v>Economic (average score 20.7)</v>
      </c>
    </row>
    <row r="6" ht="24" customHeight="1">
      <c r="A6" s="4" t="inlineStr">
        <is>
          <t>PESTLE: highest-scoring issue</t>
        </is>
      </c>
      <c r="B6" s="5" t="str">
        <f>PESTLE!C39</f>
        <v>Naira devaluation and FX shortages (score 25 of 25)</v>
      </c>
    </row>
    <row r="7" ht="24" customHeight="1">
      <c r="A7" s="4" t="inlineStr">
        <is>
          <t>PESTLE: high-priority issues</t>
        </is>
      </c>
      <c r="B7" s="5" t="str">
        <f>PESTLE!C40</f>
        <v>6 of 18 issues</v>
      </c>
    </row>
    <row r="8" ht="24" customHeight="1">
      <c r="A8" s="4" t="inlineStr">
        <is>
          <t>SWOT: points listed</t>
        </is>
      </c>
      <c r="B8" s="5" t="str">
        <f>SWOT!C25&amp;" (strengths "&amp;SWOT!C21&amp;", weaknesses "&amp;SWOT!C22&amp;", opportunities "&amp;SWOT!C23&amp;", threats "&amp;SWOT!C24&amp;")"</f>
        <v>23 (strengths 6, weaknesses 5, opportunities 6, threats 6)</v>
      </c>
    </row>
    <row r="9" ht="24" customHeight="1">
      <c r="A9" s="4" t="inlineStr">
        <is>
          <t>IFE total (internal strength)</t>
        </is>
      </c>
      <c r="B9" s="5" t="str">
        <f>TEXT('SWOT Scoring'!E17,"0.00")&amp;" out of 4. "&amp;'SWOT Scoring'!C19</f>
        <v>2.73 out of 4. Above average: strengths outweigh weaknesses</v>
      </c>
    </row>
    <row r="10" ht="24" customHeight="1">
      <c r="A10" s="4" t="inlineStr">
        <is>
          <t>EFE total (external response)</t>
        </is>
      </c>
      <c r="B10" s="5" t="str">
        <f>TEXT('SWOT Scoring'!E35,"0.00")&amp;" out of 4. "&amp;'SWOT Scoring'!C37</f>
        <v>2.41 out of 4. Below average: PZ must respond better to opportunities and threats</v>
      </c>
    </row>
    <row r="11" ht="24" customHeight="1">
      <c r="A11" s="4" t="inlineStr">
        <is>
          <t>Strategy (IE matrix)</t>
        </is>
      </c>
      <c r="B11" s="5" t="str">
        <f>'SWOT Scoring'!C48&amp;" (cell "&amp;'SWOT Scoring'!C47&amp;"): "&amp;'SWOT Scoring'!C49</f>
        <v>Hold and maintain (cell V): Market penetration and product development</v>
      </c>
    </row>
    <row r="12" ht="24" customHeight="1">
      <c r="A12" s="4" t="inlineStr">
        <is>
          <t>Five Forces: average strength</t>
        </is>
      </c>
      <c r="B12" s="5" t="str">
        <f>TEXT('Industry Analysis'!B18,"0.0")&amp;" out of 5. "&amp;'Industry Analysis'!D18</f>
        <v>3.6 out of 5. Strong competitive pressure: profits are hard to earn</v>
      </c>
    </row>
    <row r="13" ht="24" customHeight="1">
      <c r="A13" s="4" t="inlineStr">
        <is>
          <t>Five Forces: strongest force</t>
        </is>
      </c>
      <c r="B13" s="5" t="str">
        <f>'Industry Analysis'!B19</f>
        <v>Competitive rivalry</v>
      </c>
    </row>
    <row r="15" ht="18" customHeight="1">
      <c r="A15" s="6" t="inlineStr">
        <is>
          <t>Recommendations</t>
        </is>
      </c>
    </row>
    <row r="16" ht="24" customHeight="1">
      <c r="A16" s="3" t="inlineStr">
        <is>
          <t>Recommendation</t>
        </is>
      </c>
      <c r="B16" s="3" t="inlineStr">
        <is>
          <t>Why</t>
        </is>
      </c>
    </row>
    <row r="17" ht="30" customHeight="1">
      <c r="A17" s="4" t="inlineStr">
        <is>
          <t>1. Buy more raw materials in Nigeria</t>
        </is>
      </c>
      <c r="B17" s="5" t="inlineStr">
        <is>
          <t>Cuts dollar costs and the damage from naira devaluation (the biggest PESTLE issue)</t>
        </is>
      </c>
    </row>
    <row r="18" ht="30" customHeight="1">
      <c r="A18" s="4" t="inlineStr">
        <is>
          <t>2. Sell smaller, affordable packs</t>
        </is>
      </c>
      <c r="B18" s="5" t="inlineStr">
        <is>
          <t>Keeps price-sensitive shoppers buying Imperial Leather, Premier Cool, Joy and Morning Fresh</t>
        </is>
      </c>
    </row>
    <row r="19" ht="30" customHeight="1">
      <c r="A19" s="4" t="inlineStr">
        <is>
          <t>3. Grow digital marketing and online sales</t>
        </is>
      </c>
      <c r="B19" s="5" t="inlineStr">
        <is>
          <t>Reaches the large young population cheaply through social media and e-commerce</t>
        </is>
      </c>
    </row>
    <row r="20" ht="30" customHeight="1">
      <c r="A20" s="4" t="inlineStr">
        <is>
          <t>4. Win customers competitors left behind</t>
        </is>
      </c>
      <c r="B20" s="5" t="inlineStr">
        <is>
          <t>Use the wide distribution network to fill shelves Unilever and P&amp;G have left</t>
        </is>
      </c>
    </row>
    <row r="21" ht="30" customHeight="1">
      <c r="A21" s="4" t="inlineStr">
        <is>
          <t>5. Make decisions faster</t>
        </is>
      </c>
      <c r="B21" s="5" t="inlineStr">
        <is>
          <t>Give local managers more authority and cut approval levels to fix the main weaknesses</t>
        </is>
      </c>
    </row>
    <row r="23" ht="28" customHeight="1">
      <c r="A23" s="7" t="inlineStr">
        <is>
          <t>Ratings and weights are the analyst's judgement, based on the company information and public news up to 2025. Check the latest figures (exchange rate, inflation) before presenting.</t>
        </is>
      </c>
    </row>
  </sheetData>
  <mergeCells count="4">
    <mergeCell ref="A2:B2"/>
    <mergeCell ref="A23:B23"/>
    <mergeCell ref="A1:B1"/>
    <mergeCell ref="A15:B15"/>
  </mergeCells>
  <printOptions horizontalCentered="1"/>
  <pageMargins left="0.7" right="0.7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Marketing Department</dc:creator>
  <dc:title xmlns:dc="http://purl.org/dc/elements/1.1/">PZ Nigeria Limited: PESTLE, SWOT and Industry Analysis</dc:title>
  <dc:subject xmlns:dc="http://purl.org/dc/elements/1.1/">PESTLE, SWOT (IFE/EFE) and Porter's Five Forces analysis of PZ Nigeria Limited</dc:subject>
  <dcterms:created xmlns:dcterms="http://purl.org/dc/terms/" xmlns:xsi="http://www.w3.org/2001/XMLSchema-instance" xsi:type="dcterms:W3CDTF">2026-09-27T12:16:14Z</dcterms:created>
  <dcterms:modified xmlns:dcterms="http://purl.org/dc/terms/" xmlns:xsi="http://www.w3.org/2001/XMLSchema-instance" xsi:type="dcterms:W3CDTF">2026-09-27T12:16:14Z</dcterms:modified>
  <cp:lastModifiedBy>Marketing Department</cp:lastModifiedBy>
  <cp:keywords>PZ Nigeria, PESTLE, SWOT, Five Forces, industry analysis</cp:keywords>
</cp:coreProperties>
</file>